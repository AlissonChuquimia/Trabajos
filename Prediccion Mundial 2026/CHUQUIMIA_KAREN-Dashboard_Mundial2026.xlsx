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REN\OneDrive\Desktop\9no SEMESTRE\CDA- CIENCIA DE DATOS\H5\"/>
    </mc:Choice>
  </mc:AlternateContent>
  <xr:revisionPtr revIDLastSave="0" documentId="13_ncr:1_{A1A4C7CD-2DBD-4304-99EF-D13A514C0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robabilidades" sheetId="2" r:id="rId2"/>
    <sheet name="Evaluacion" sheetId="3" r:id="rId3"/>
    <sheet name="ELO_Historico" sheetId="4" r:id="rId4"/>
    <sheet name="Aux_Graficos" sheetId="5" state="hidden" r:id="rId5"/>
    <sheet name="Defensa" sheetId="6" r:id="rId6"/>
  </sheets>
  <definedNames>
    <definedName name="_xlnm.Print_Area" localSheetId="0">Dashboard!$A$1:$T$55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B32" i="5"/>
  <c r="B31" i="5"/>
  <c r="B30" i="5"/>
  <c r="B29" i="5"/>
  <c r="B28" i="5"/>
  <c r="B27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E39" i="3"/>
  <c r="D39" i="3"/>
  <c r="C39" i="3"/>
  <c r="B39" i="3"/>
  <c r="E38" i="3"/>
  <c r="D38" i="3"/>
  <c r="C38" i="3"/>
  <c r="M5" i="1" s="1"/>
  <c r="B38" i="3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5" i="1"/>
  <c r="A5" i="1"/>
</calcChain>
</file>

<file path=xl/sharedStrings.xml><?xml version="1.0" encoding="utf-8"?>
<sst xmlns="http://schemas.openxmlformats.org/spreadsheetml/2006/main" count="399" uniqueCount="220">
  <si>
    <t>Metodología CRISP-DM  |  Modelo Poisson + Perfil de campeón + 10,000 simulaciones Monte Carlo  |  Karen Chuquimia — UNIFRANZ, Ciencia de Datos 2026</t>
  </si>
  <si>
    <t>CAMPEÓN PREDICHO</t>
  </si>
  <si>
    <t>PROBABILIDAD</t>
  </si>
  <si>
    <t>2º FAVORITO</t>
  </si>
  <si>
    <t>SIMULACIONES</t>
  </si>
  <si>
    <t>BACKTEST TOP-3</t>
  </si>
  <si>
    <t>VALIDACIÓN EXTERNA</t>
  </si>
  <si>
    <t>el más probable de 48</t>
  </si>
  <si>
    <t>ensamble 60/40</t>
  </si>
  <si>
    <t>torneos Monte Carlo</t>
  </si>
  <si>
    <t>campeón real en top-3 (22 ed.)</t>
  </si>
  <si>
    <t>Spearman vs baseline</t>
  </si>
  <si>
    <t>Fuente: dataset FIFA World Cup 1930–2026 (12 CSV) | Resultados reproducibles con semilla 42 | Detalle completo: hojas Probabilidades, Evaluacion y ELO_Historico | Notebook: H5-CHUQUIMIA_KAREN-Prediccion_Mundial2026.ipynb</t>
  </si>
  <si>
    <t>Pos.</t>
  </si>
  <si>
    <t>Selección</t>
  </si>
  <si>
    <t>Grupo</t>
  </si>
  <si>
    <t>Confederación</t>
  </si>
  <si>
    <t>Rank FIFA</t>
  </si>
  <si>
    <t>ELO 2026</t>
  </si>
  <si>
    <t>ELO ajustado</t>
  </si>
  <si>
    <t>% Simulación MC</t>
  </si>
  <si>
    <t>% Perfil histórico</t>
  </si>
  <si>
    <t>% FINAL (ensamble)</t>
  </si>
  <si>
    <t>% Baseline dataset</t>
  </si>
  <si>
    <t>% 16avos</t>
  </si>
  <si>
    <t>% Octavos</t>
  </si>
  <si>
    <t>% Cuartos</t>
  </si>
  <si>
    <t>% Semifinal</t>
  </si>
  <si>
    <t>% Final</t>
  </si>
  <si>
    <t>% Campeón</t>
  </si>
  <si>
    <t>Brasil</t>
  </si>
  <si>
    <t>C</t>
  </si>
  <si>
    <t>CONMEBOL</t>
  </si>
  <si>
    <t>Francia</t>
  </si>
  <si>
    <t>I</t>
  </si>
  <si>
    <t>UEFA</t>
  </si>
  <si>
    <t>España</t>
  </si>
  <si>
    <t>H</t>
  </si>
  <si>
    <t>Argentina</t>
  </si>
  <si>
    <t>J</t>
  </si>
  <si>
    <t>Alemania</t>
  </si>
  <si>
    <t>E</t>
  </si>
  <si>
    <t>Inglaterra</t>
  </si>
  <si>
    <t>L</t>
  </si>
  <si>
    <t>Países Bajos</t>
  </si>
  <si>
    <t>F</t>
  </si>
  <si>
    <t>Portugal</t>
  </si>
  <si>
    <t>K</t>
  </si>
  <si>
    <t>Bélgica</t>
  </si>
  <si>
    <t>G</t>
  </si>
  <si>
    <t>Croacia</t>
  </si>
  <si>
    <t>Colombia</t>
  </si>
  <si>
    <t>Uruguay</t>
  </si>
  <si>
    <t>Marruecos</t>
  </si>
  <si>
    <t>CAF</t>
  </si>
  <si>
    <t>Estados Unidos</t>
  </si>
  <si>
    <t>D</t>
  </si>
  <si>
    <t>CONCACAF</t>
  </si>
  <si>
    <t>México</t>
  </si>
  <si>
    <t>A</t>
  </si>
  <si>
    <t>Suiza</t>
  </si>
  <si>
    <t>B</t>
  </si>
  <si>
    <t>Corea del Sur</t>
  </si>
  <si>
    <t>AFC</t>
  </si>
  <si>
    <t>Japón</t>
  </si>
  <si>
    <t>Noruega</t>
  </si>
  <si>
    <t>Suecia</t>
  </si>
  <si>
    <t>Türkiye</t>
  </si>
  <si>
    <t>Canadá</t>
  </si>
  <si>
    <t>Senegal</t>
  </si>
  <si>
    <t>Austria</t>
  </si>
  <si>
    <t>Ecuador</t>
  </si>
  <si>
    <t>Paraguay</t>
  </si>
  <si>
    <t>Chequia</t>
  </si>
  <si>
    <t>Irán</t>
  </si>
  <si>
    <t>Escocia</t>
  </si>
  <si>
    <t>Australia</t>
  </si>
  <si>
    <t>Costa de Marfil</t>
  </si>
  <si>
    <t>Argelia</t>
  </si>
  <si>
    <t>Egipto</t>
  </si>
  <si>
    <t>Ghana</t>
  </si>
  <si>
    <t>Bosnia-Herzegovina</t>
  </si>
  <si>
    <t>DR Congo</t>
  </si>
  <si>
    <t>Arabia Saudita</t>
  </si>
  <si>
    <t>Túnez</t>
  </si>
  <si>
    <t>Iraq</t>
  </si>
  <si>
    <t>Uzbekistán</t>
  </si>
  <si>
    <t>Sudáfrica</t>
  </si>
  <si>
    <t>Panamá</t>
  </si>
  <si>
    <t>Catar</t>
  </si>
  <si>
    <t>Jordania</t>
  </si>
  <si>
    <t>Nueva Zelanda</t>
  </si>
  <si>
    <t>OFC</t>
  </si>
  <si>
    <t>Cabo Verde</t>
  </si>
  <si>
    <t>Haití</t>
  </si>
  <si>
    <t>Curaçao</t>
  </si>
  <si>
    <t>Fuente: simulación Monte Carlo (10,000 torneos, semilla 42) — notebook H5-CHUQUIMIA_KAREN-Prediccion_Mundial2026.ipynb, Fases 5.3–5.6</t>
  </si>
  <si>
    <t>EVALUACIÓN DEL MODELO (Fase 6 del notebook)</t>
  </si>
  <si>
    <t>A. Modelo de partido — partición temporal (entrena 1930-2006, prueba 2010-2022)</t>
  </si>
  <si>
    <t>Métrica</t>
  </si>
  <si>
    <t>Modelo</t>
  </si>
  <si>
    <t>Referencia</t>
  </si>
  <si>
    <t>Lectura</t>
  </si>
  <si>
    <t>Accuracy</t>
  </si>
  <si>
    <t>70.4%</t>
  </si>
  <si>
    <t>Mayor ELO gana: 85.2% | Clase mayoritaria: 70.4%</t>
  </si>
  <si>
    <t>No supera la regla determinista (27 partidos de prueba)</t>
  </si>
  <si>
    <t>Log-loss</t>
  </si>
  <si>
    <t>0.540</t>
  </si>
  <si>
    <t>Azar puro: 0.693</t>
  </si>
  <si>
    <t>Calibración probabilística mejor que el azar</t>
  </si>
  <si>
    <t>Brier score</t>
  </si>
  <si>
    <t>0.188</t>
  </si>
  <si>
    <t>Azar puro: 0.250</t>
  </si>
  <si>
    <t>Probabilidades bien calibradas</t>
  </si>
  <si>
    <t>MAE goles (Poisson)</t>
  </si>
  <si>
    <t>0.987</t>
  </si>
  <si>
    <t>Predecir la media: 1.258</t>
  </si>
  <si>
    <t>El motor de la simulación supera al baseline (-22% de error)</t>
  </si>
  <si>
    <t>Fuente: notebook Fase 6.1 (valores calculados con sklearn.metrics)</t>
  </si>
  <si>
    <t>B. Backtesting leave-one-tournament-out — 22 ediciones (1930-2022)</t>
  </si>
  <si>
    <t>Edición</t>
  </si>
  <si>
    <t>Campeón real</t>
  </si>
  <si>
    <t>Predicho #1 (RF)</t>
  </si>
  <si>
    <t>Rank campeón (RF)</t>
  </si>
  <si>
    <t>Predicho #1 (Logit)</t>
  </si>
  <si>
    <t>Rank campeón (Logit)</t>
  </si>
  <si>
    <t>1930</t>
  </si>
  <si>
    <t>1934</t>
  </si>
  <si>
    <t>Italia</t>
  </si>
  <si>
    <t>1938</t>
  </si>
  <si>
    <t>1950</t>
  </si>
  <si>
    <t>1954</t>
  </si>
  <si>
    <t>West Germany</t>
  </si>
  <si>
    <t>Hungary</t>
  </si>
  <si>
    <t>1958</t>
  </si>
  <si>
    <t>1962</t>
  </si>
  <si>
    <t>1966</t>
  </si>
  <si>
    <t>1970</t>
  </si>
  <si>
    <t>1974</t>
  </si>
  <si>
    <t>1978</t>
  </si>
  <si>
    <t>1982</t>
  </si>
  <si>
    <t>1986</t>
  </si>
  <si>
    <t>1990</t>
  </si>
  <si>
    <t>1994</t>
  </si>
  <si>
    <t>1998</t>
  </si>
  <si>
    <t>2002</t>
  </si>
  <si>
    <t>2006</t>
  </si>
  <si>
    <t>2010</t>
  </si>
  <si>
    <t>2014</t>
  </si>
  <si>
    <t>2018</t>
  </si>
  <si>
    <t>2022</t>
  </si>
  <si>
    <t>C. Tasas de acierto (calculadas con fórmulas sobre la tabla B)</t>
  </si>
  <si>
    <t>Top-1</t>
  </si>
  <si>
    <t>Top-3</t>
  </si>
  <si>
    <t>Top-5</t>
  </si>
  <si>
    <t>Rank medio</t>
  </si>
  <si>
    <t>Random Forest</t>
  </si>
  <si>
    <t>Regresión Logística</t>
  </si>
  <si>
    <t>Referencia por azar</t>
  </si>
  <si>
    <t>Valores azules: referencia teórica (3/n equipos promedio). Fuente: notebook Fase 6.2</t>
  </si>
  <si>
    <t>D. Validación externa contra el baseline del dataset</t>
  </si>
  <si>
    <t>Correlación Spearman — P(campeón)</t>
  </si>
  <si>
    <t>Correlación Spearman — P(superar fase de grupos)</t>
  </si>
  <si>
    <t>Fuente: notebook Fase 6.3 (scipy.stats.spearmanr)</t>
  </si>
  <si>
    <t>Evolución del rating ELO en cada participación mundialista (fuente: wc_team_appearances.csv + wc_prediction_features_2026.csv)</t>
  </si>
  <si>
    <t>2026</t>
  </si>
  <si>
    <t>Hoja auxiliar: alimenta los gráficos del Dashboard (no editar)</t>
  </si>
  <si>
    <t>P(campeón)</t>
  </si>
  <si>
    <t>Etapa</t>
  </si>
  <si>
    <t>16avos</t>
  </si>
  <si>
    <t>Octavos</t>
  </si>
  <si>
    <t>Cuartos</t>
  </si>
  <si>
    <t>Semifinal</t>
  </si>
  <si>
    <t>Final</t>
  </si>
  <si>
    <t>Campeón</t>
  </si>
  <si>
    <t>P(campeón) agregada</t>
  </si>
  <si>
    <t>GUÍA PARA LA DEFENSA DEL PROYECTO</t>
  </si>
  <si>
    <t>PITCH DE 1 MINUTO</t>
  </si>
  <si>
    <t>La pregunta</t>
  </si>
  <si>
    <t>¿Quién ganará el Mundial 2026? Se respondió con probabilidades, no con adivinanzas: se modeló el torneo completo con datos de 92 años de mundiales.</t>
  </si>
  <si>
    <t>El método</t>
  </si>
  <si>
    <t>CRISP-DM de inicio a fin: comprensión del negocio y de los datos, limpieza documentada, EDA que valida los supuestos, tres modelos complementarios (Poisson de goles, perfil de campeón y simulación Monte Carlo de 10,000 torneos con el formato real de 48 equipos), evaluación rigurosa y dashboard.</t>
  </si>
  <si>
    <t>El resultado</t>
  </si>
  <si>
    <t>Brasil es el campeón más probable (16.2%), seguido de Francia (14.0%) y España (12.6%). Brasil llega a la final en el 37.6% de las simulaciones.</t>
  </si>
  <si>
    <t>La validación</t>
  </si>
  <si>
    <t>En backtesting sobre las 22 ediciones históricas, el campeón real quedó en el top-3 del modelo el 95.5% de las veces; la correlación con un baseline externo independiente es 0.93.</t>
  </si>
  <si>
    <t>FORTALEZAS PARA DESTACAR</t>
  </si>
  <si>
    <t>Reproducibilidad total</t>
  </si>
  <si>
    <t>Semilla fija (42): cualquier persona que ejecute el notebook obtiene exactamente los mismos números. Es ciencia, no lotería.</t>
  </si>
  <si>
    <t>Validación triple</t>
  </si>
  <si>
    <t>(1) Partición temporal sin fuga de información; (2) backtesting leave-one-tournament-out sobre 22 ediciones; (3) comparación con un baseline externo que el modelo nunca vio.</t>
  </si>
  <si>
    <t>Formato real del torneo</t>
  </si>
  <si>
    <t>La simulación reproduce el formato 2026 exacto: 12 grupos, mejores terceros, dieciseisavos, prórrogas y penales.</t>
  </si>
  <si>
    <t>Honestidad metodológica</t>
  </si>
  <si>
    <t>El informe declara la métrica donde el modelo no ganó (accuracy puntual vs regla ELO en 27 partidos) y explica por qué no afecta la simulación.</t>
  </si>
  <si>
    <t>Hallazgo no obvio</t>
  </si>
  <si>
    <t>A igualdad de fuerza, los títulos del pasado NO aumentan la probabilidad de ganar (odds ratio 0.60): los campeones son potencias en su pico, no museos de trofeos.</t>
  </si>
  <si>
    <t>PREGUNTAS PROBABLES DEL TRIBUNAL</t>
  </si>
  <si>
    <t>¿Por qué Brasil y no Francia, si el dataset decía Francia?</t>
  </si>
  <si>
    <t>El baseline del dataset pondera más la forma reciente (Francia 24 pts vs Brasil 18). Nuestro ensamble pondera la fuerza estructural: Brasil tiene el ELO más alto del torneo (2030). La diferencia entre ambos es de menos de 3 puntos porcentuales: estadísticamente es casi un empate y ambas respuestas son defendibles. Lo importante es que el método para llegar a la respuesta es transparente y validado.</t>
  </si>
  <si>
    <t>¿16% no es muy poco para un "campeón predicho"?</t>
  </si>
  <si>
    <t>Al contrario: con 48 equipos y 5 rondas de eliminación directa, el participante promedio tiene ~2%. Brasil tiene 8 veces más. Los favoritos históricos reales rondan 15-20% ex-ante. Quien promete certezas en un torneo de eliminación directa no entiende el problema.</t>
  </si>
  <si>
    <t>¿Cómo sé que el modelo no está sobreajustado?</t>
  </si>
  <si>
    <t>Tres mecanismos: el backtest entrena 22 veces excluyendo la edición que evalúa (nunca ve la respuesta); el modelo de campeón usa solo 4 variables (no memoriza); y la evaluación temporal entrena con 1930-2006 y prueba con 2010-2022.</t>
  </si>
  <si>
    <t>¿Por qué Poisson y no una red neuronal?</t>
  </si>
  <si>
    <t>Con 117 partidos históricos, un modelo complejo memorizaría el ruido. Poisson es el estándar de la literatura de pronóstico futbolístico (Maher 1982, Dixon &amp; Coles 1997), tiene 2 parámetros interpretables y genera marcadores y empates de forma natural.</t>
  </si>
  <si>
    <t>¿Qué pasa si se lesiona Mbappé o Vinicius?</t>
  </si>
  <si>
    <t>Limitación declarada: el modelo trabaja a nivel selección, no jugador. La recomendación 4 del informe propone incorporar variables de nivel jugador. El modelo se puede recalcular en minutos si cambia el ELO.</t>
  </si>
  <si>
    <t>¿La limpieza de datos fue real o cosmética?</t>
  </si>
  <si>
    <t>Documentada en Fase 3: se eliminó una columna 100% nula (fifa_ranking), se filtraron 2 registros de equipos que no jugaron, se estandarizó el ELO por edición (clave: 1900 en 1950 ≠ 1900 en 2022) y hay asserts que detienen la ejecución si la integridad falla.</t>
  </si>
  <si>
    <t>LIMITACIONES (decirlas ANTES de que las pregunten)</t>
  </si>
  <si>
    <t>Bracket simulado</t>
  </si>
  <si>
    <t>El cuadro de cruces usa sembrado estándar; el bracket oficial FIFA puede diferir. Recomendación: actualizarlo cuando se publique.</t>
  </si>
  <si>
    <t>Muestra de partidos</t>
  </si>
  <si>
    <t>117 partidos históricos priorizan eliminatorias; no está toda la fase de grupos de cada edición.</t>
  </si>
  <si>
    <t>Datos pre-torneo</t>
  </si>
  <si>
    <t>ELO y valores de mercado son de abril 2026; la forma cambia semana a semana. El modelo es una foto, actualizable en vivo.</t>
  </si>
  <si>
    <t>Consejo final: abrir la defensa con el Dashboard, profundizar con el notebook, cerrar con las limitaciones y recomendaciones. La honestidad sobre los límites del modelo es lo que más valora un tribunal.</t>
  </si>
  <si>
    <t>PREDICCIÓN COPA MUNDIAL FIFA 2026 — DASHBOARD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</si>
</sst>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808080"/>
      <name val="Arial"/>
    </font>
    <font>
      <b/>
      <sz val="14"/>
      <color rgb="FF1F3864"/>
      <name val="Arial"/>
    </font>
    <font>
      <b/>
      <sz val="11"/>
      <color rgb="FF000000"/>
      <name val="Arial"/>
    </font>
    <font>
      <sz val="10"/>
      <color rgb="FF0000FF"/>
      <name val="Arial"/>
    </font>
    <font>
      <b/>
      <sz val="10"/>
      <color rgb="FF0000FF"/>
      <name val="Arial"/>
    </font>
    <font>
      <b/>
      <sz val="11"/>
      <color rgb="FF1F3864"/>
      <name val="Arial"/>
    </font>
    <font>
      <b/>
      <sz val="18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.5"/>
      <color rgb="FFFFFFFF"/>
      <name val="Arial"/>
    </font>
    <font>
      <b/>
      <sz val="15"/>
      <color rgb="FFFFFFFF"/>
      <name val="Arial"/>
    </font>
    <font>
      <b/>
      <sz val="12"/>
      <color rgb="FFFFFFFF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A"/>
      </patternFill>
    </fill>
    <fill>
      <patternFill patternType="solid">
        <fgColor rgb="FF2E5293"/>
      </patternFill>
    </fill>
    <fill>
      <patternFill patternType="solid">
        <fgColor rgb="FFBF8F00"/>
      </patternFill>
    </fill>
    <fill>
      <patternFill patternType="solid">
        <fgColor rgb="FF2E7D32"/>
      </patternFill>
    </fill>
    <fill>
      <patternFill patternType="solid">
        <fgColor rgb="FF6A329F"/>
      </patternFill>
    </fill>
    <fill>
      <patternFill patternType="solid">
        <fgColor rgb="FF00838F"/>
      </patternFill>
    </fill>
    <fill>
      <patternFill patternType="solid">
        <fgColor rgb="FF455A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166" fontId="8" fillId="0" borderId="1" xfId="0" applyNumberFormat="1" applyFont="1" applyBorder="1"/>
    <xf numFmtId="0" fontId="9" fillId="0" borderId="0" xfId="0" applyFont="1"/>
    <xf numFmtId="3" fontId="2" fillId="0" borderId="1" xfId="0" applyNumberFormat="1" applyFont="1" applyBorder="1"/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13" fillId="2" borderId="0" xfId="0" applyFont="1" applyFill="1" applyAlignment="1">
      <alignment horizontal="center" vertical="center"/>
    </xf>
    <xf numFmtId="0" fontId="0" fillId="2" borderId="0" xfId="0" applyFill="1"/>
    <xf numFmtId="0" fontId="13" fillId="6" borderId="0" xfId="0" applyFont="1" applyFill="1" applyAlignment="1">
      <alignment horizontal="center" vertical="center"/>
    </xf>
    <xf numFmtId="0" fontId="0" fillId="6" borderId="0" xfId="0" applyFill="1"/>
    <xf numFmtId="0" fontId="12" fillId="5" borderId="0" xfId="0" applyFont="1" applyFill="1" applyAlignment="1">
      <alignment horizontal="center" vertical="center"/>
    </xf>
    <xf numFmtId="0" fontId="0" fillId="5" borderId="0" xfId="0" applyFill="1"/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166" fontId="13" fillId="9" borderId="0" xfId="0" applyNumberFormat="1" applyFont="1" applyFill="1" applyAlignment="1">
      <alignment horizontal="center" vertical="center"/>
    </xf>
    <xf numFmtId="0" fontId="0" fillId="9" borderId="0" xfId="0" applyFill="1"/>
    <xf numFmtId="0" fontId="12" fillId="8" borderId="0" xfId="0" applyFont="1" applyFill="1" applyAlignment="1">
      <alignment horizontal="center" vertical="center"/>
    </xf>
    <xf numFmtId="0" fontId="0" fillId="8" borderId="0" xfId="0" applyFill="1"/>
    <xf numFmtId="0" fontId="4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3" fontId="13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14" fillId="2" borderId="0" xfId="0" applyFont="1" applyFill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6" fillId="6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Probabilidad de campeonato — Top 12 (ensamble final)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Aux_Graficos!$B$2</c:f>
              <c:strCache>
                <c:ptCount val="1"/>
                <c:pt idx="0">
                  <c:v>P(campeón)</c:v>
                </c:pt>
              </c:strCache>
            </c:strRef>
          </c:tx>
          <c:spPr>
            <a:solidFill>
              <a:srgbClr val="BF8F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Aux_Graficos!$A$3:$A$14</c:f>
              <c:strCache>
                <c:ptCount val="12"/>
                <c:pt idx="0">
                  <c:v>Uruguay</c:v>
                </c:pt>
                <c:pt idx="1">
                  <c:v>Colombia</c:v>
                </c:pt>
                <c:pt idx="2">
                  <c:v>Croacia</c:v>
                </c:pt>
                <c:pt idx="3">
                  <c:v>Bélgica</c:v>
                </c:pt>
                <c:pt idx="4">
                  <c:v>Portugal</c:v>
                </c:pt>
                <c:pt idx="5">
                  <c:v>Países Bajos</c:v>
                </c:pt>
                <c:pt idx="6">
                  <c:v>Inglaterra</c:v>
                </c:pt>
                <c:pt idx="7">
                  <c:v>Alemania</c:v>
                </c:pt>
                <c:pt idx="8">
                  <c:v>Argentina</c:v>
                </c:pt>
                <c:pt idx="9">
                  <c:v>España</c:v>
                </c:pt>
                <c:pt idx="10">
                  <c:v>Francia</c:v>
                </c:pt>
                <c:pt idx="11">
                  <c:v>Brasil</c:v>
                </c:pt>
              </c:strCache>
            </c:strRef>
          </c:cat>
          <c:val>
            <c:numRef>
              <c:f>Aux_Graficos!$B$3:$B$14</c:f>
              <c:numCache>
                <c:formatCode>0.0%</c:formatCode>
                <c:ptCount val="12"/>
                <c:pt idx="0">
                  <c:v>2.3118462864011629E-2</c:v>
                </c:pt>
                <c:pt idx="1">
                  <c:v>2.5365131613471831E-2</c:v>
                </c:pt>
                <c:pt idx="2">
                  <c:v>2.5970353476491879E-2</c:v>
                </c:pt>
                <c:pt idx="3">
                  <c:v>3.5479390738526427E-2</c:v>
                </c:pt>
                <c:pt idx="4">
                  <c:v>5.9028534863602412E-2</c:v>
                </c:pt>
                <c:pt idx="5">
                  <c:v>6.245823070476595E-2</c:v>
                </c:pt>
                <c:pt idx="6">
                  <c:v>6.4932963843805883E-2</c:v>
                </c:pt>
                <c:pt idx="7">
                  <c:v>6.8398535112096079E-2</c:v>
                </c:pt>
                <c:pt idx="8">
                  <c:v>9.7460947777218726E-2</c:v>
                </c:pt>
                <c:pt idx="9">
                  <c:v>0.12589103055198611</c:v>
                </c:pt>
                <c:pt idx="10">
                  <c:v>0.13971916328440301</c:v>
                </c:pt>
                <c:pt idx="11">
                  <c:v>0.16217588147555309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3C-4169-82F4-06C21FF712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Camino simulado: probabilidad de alcanzar cada etapa (Top 5)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Aux_Graficos!$B$17</c:f>
              <c:strCache>
                <c:ptCount val="1"/>
                <c:pt idx="0">
                  <c:v>Brasil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Aux_Graficos!$A$18:$A$24</c:f>
              <c:strCache>
                <c:ptCount val="6"/>
                <c:pt idx="0">
                  <c:v>16avos</c:v>
                </c:pt>
                <c:pt idx="1">
                  <c:v>Octavos</c:v>
                </c:pt>
                <c:pt idx="2">
                  <c:v>Cuartos</c:v>
                </c:pt>
                <c:pt idx="3">
                  <c:v>Semifinal</c:v>
                </c:pt>
                <c:pt idx="4">
                  <c:v>Final</c:v>
                </c:pt>
                <c:pt idx="5">
                  <c:v>Campeón</c:v>
                </c:pt>
              </c:strCache>
            </c:strRef>
          </c:cat>
          <c:val>
            <c:numRef>
              <c:f>Aux_Graficos!$B$18:$B$24</c:f>
              <c:numCache>
                <c:formatCode>0.0%</c:formatCode>
                <c:ptCount val="7"/>
                <c:pt idx="0">
                  <c:v>1</c:v>
                </c:pt>
                <c:pt idx="1">
                  <c:v>0.95319999999999994</c:v>
                </c:pt>
                <c:pt idx="2">
                  <c:v>0.77879999999999994</c:v>
                </c:pt>
                <c:pt idx="3">
                  <c:v>0.55720000000000003</c:v>
                </c:pt>
                <c:pt idx="4">
                  <c:v>0.37619999999999998</c:v>
                </c:pt>
                <c:pt idx="5">
                  <c:v>0.24010000000000001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0-42C3-9091-F7AF630C7D7C}"/>
            </c:ext>
          </c:extLst>
        </c:ser>
        <c:ser>
          <c:idx val="1"/>
          <c:order val="1"/>
          <c:tx>
            <c:strRef>
              <c:f>Aux_Graficos!$C$17</c:f>
              <c:strCache>
                <c:ptCount val="1"/>
                <c:pt idx="0">
                  <c:v>Francia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Aux_Graficos!$A$18:$A$24</c:f>
              <c:strCache>
                <c:ptCount val="6"/>
                <c:pt idx="0">
                  <c:v>16avos</c:v>
                </c:pt>
                <c:pt idx="1">
                  <c:v>Octavos</c:v>
                </c:pt>
                <c:pt idx="2">
                  <c:v>Cuartos</c:v>
                </c:pt>
                <c:pt idx="3">
                  <c:v>Semifinal</c:v>
                </c:pt>
                <c:pt idx="4">
                  <c:v>Final</c:v>
                </c:pt>
                <c:pt idx="5">
                  <c:v>Campeón</c:v>
                </c:pt>
              </c:strCache>
            </c:strRef>
          </c:cat>
          <c:val>
            <c:numRef>
              <c:f>Aux_Graficos!$C$18:$C$24</c:f>
              <c:numCache>
                <c:formatCode>0.0%</c:formatCode>
                <c:ptCount val="7"/>
                <c:pt idx="0">
                  <c:v>0.9998999999999999</c:v>
                </c:pt>
                <c:pt idx="1">
                  <c:v>0.93840000000000001</c:v>
                </c:pt>
                <c:pt idx="2">
                  <c:v>0.72549999999999992</c:v>
                </c:pt>
                <c:pt idx="3">
                  <c:v>0.49559999999999998</c:v>
                </c:pt>
                <c:pt idx="4">
                  <c:v>0.3115</c:v>
                </c:pt>
                <c:pt idx="5">
                  <c:v>0.18709999999999999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0-42C3-9091-F7AF630C7D7C}"/>
            </c:ext>
          </c:extLst>
        </c:ser>
        <c:ser>
          <c:idx val="2"/>
          <c:order val="2"/>
          <c:tx>
            <c:strRef>
              <c:f>Aux_Graficos!$D$17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Aux_Graficos!$A$18:$A$24</c:f>
              <c:strCache>
                <c:ptCount val="6"/>
                <c:pt idx="0">
                  <c:v>16avos</c:v>
                </c:pt>
                <c:pt idx="1">
                  <c:v>Octavos</c:v>
                </c:pt>
                <c:pt idx="2">
                  <c:v>Cuartos</c:v>
                </c:pt>
                <c:pt idx="3">
                  <c:v>Semifinal</c:v>
                </c:pt>
                <c:pt idx="4">
                  <c:v>Final</c:v>
                </c:pt>
                <c:pt idx="5">
                  <c:v>Campeón</c:v>
                </c:pt>
              </c:strCache>
            </c:strRef>
          </c:cat>
          <c:val>
            <c:numRef>
              <c:f>Aux_Graficos!$D$18:$D$24</c:f>
              <c:numCache>
                <c:formatCode>0.0%</c:formatCode>
                <c:ptCount val="7"/>
                <c:pt idx="0">
                  <c:v>1</c:v>
                </c:pt>
                <c:pt idx="1">
                  <c:v>0.93299999999999994</c:v>
                </c:pt>
                <c:pt idx="2">
                  <c:v>0.70069999999999988</c:v>
                </c:pt>
                <c:pt idx="3">
                  <c:v>0.4708</c:v>
                </c:pt>
                <c:pt idx="4">
                  <c:v>0.28660000000000002</c:v>
                </c:pt>
                <c:pt idx="5">
                  <c:v>0.1573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0-42C3-9091-F7AF630C7D7C}"/>
            </c:ext>
          </c:extLst>
        </c:ser>
        <c:ser>
          <c:idx val="3"/>
          <c:order val="3"/>
          <c:tx>
            <c:strRef>
              <c:f>Aux_Graficos!$E$17</c:f>
              <c:strCache>
                <c:ptCount val="1"/>
                <c:pt idx="0">
                  <c:v>Argentina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Aux_Graficos!$A$18:$A$24</c:f>
              <c:strCache>
                <c:ptCount val="6"/>
                <c:pt idx="0">
                  <c:v>16avos</c:v>
                </c:pt>
                <c:pt idx="1">
                  <c:v>Octavos</c:v>
                </c:pt>
                <c:pt idx="2">
                  <c:v>Cuartos</c:v>
                </c:pt>
                <c:pt idx="3">
                  <c:v>Semifinal</c:v>
                </c:pt>
                <c:pt idx="4">
                  <c:v>Final</c:v>
                </c:pt>
                <c:pt idx="5">
                  <c:v>Campeón</c:v>
                </c:pt>
              </c:strCache>
            </c:strRef>
          </c:cat>
          <c:val>
            <c:numRef>
              <c:f>Aux_Graficos!$E$18:$E$24</c:f>
              <c:numCache>
                <c:formatCode>0.0%</c:formatCode>
                <c:ptCount val="7"/>
                <c:pt idx="0">
                  <c:v>0.99970000000000003</c:v>
                </c:pt>
                <c:pt idx="1">
                  <c:v>0.92540000000000011</c:v>
                </c:pt>
                <c:pt idx="2">
                  <c:v>0.68810000000000004</c:v>
                </c:pt>
                <c:pt idx="3">
                  <c:v>0.434</c:v>
                </c:pt>
                <c:pt idx="4">
                  <c:v>0.23480000000000001</c:v>
                </c:pt>
                <c:pt idx="5">
                  <c:v>0.1191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B0-42C3-9091-F7AF630C7D7C}"/>
            </c:ext>
          </c:extLst>
        </c:ser>
        <c:ser>
          <c:idx val="4"/>
          <c:order val="4"/>
          <c:tx>
            <c:strRef>
              <c:f>Aux_Graficos!$F$17</c:f>
              <c:strCache>
                <c:ptCount val="1"/>
                <c:pt idx="0">
                  <c:v>Alemania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Aux_Graficos!$A$18:$A$24</c:f>
              <c:strCache>
                <c:ptCount val="6"/>
                <c:pt idx="0">
                  <c:v>16avos</c:v>
                </c:pt>
                <c:pt idx="1">
                  <c:v>Octavos</c:v>
                </c:pt>
                <c:pt idx="2">
                  <c:v>Cuartos</c:v>
                </c:pt>
                <c:pt idx="3">
                  <c:v>Semifinal</c:v>
                </c:pt>
                <c:pt idx="4">
                  <c:v>Final</c:v>
                </c:pt>
                <c:pt idx="5">
                  <c:v>Campeón</c:v>
                </c:pt>
              </c:strCache>
            </c:strRef>
          </c:cat>
          <c:val>
            <c:numRef>
              <c:f>Aux_Graficos!$F$18:$F$24</c:f>
              <c:numCache>
                <c:formatCode>0.0%</c:formatCode>
                <c:ptCount val="7"/>
                <c:pt idx="0">
                  <c:v>1</c:v>
                </c:pt>
                <c:pt idx="1">
                  <c:v>0.90959999999999996</c:v>
                </c:pt>
                <c:pt idx="2">
                  <c:v>0.63190000000000002</c:v>
                </c:pt>
                <c:pt idx="3">
                  <c:v>0.34849999999999998</c:v>
                </c:pt>
                <c:pt idx="4">
                  <c:v>0.1704</c:v>
                </c:pt>
                <c:pt idx="5">
                  <c:v>7.3800000000000004E-2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0-42C3-9091-F7AF630C7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Probabilidad de campeonato por confederación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Aux_Graficos!$B$26</c:f>
              <c:strCache>
                <c:ptCount val="1"/>
                <c:pt idx="0">
                  <c:v>P(campeón) agregada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Aux_Graficos!$A$27:$A$32</c:f>
              <c:strCache>
                <c:ptCount val="6"/>
                <c:pt idx="0">
                  <c:v>AFC</c:v>
                </c:pt>
                <c:pt idx="1">
                  <c:v>CAF</c:v>
                </c:pt>
                <c:pt idx="2">
                  <c:v>CONCACAF</c:v>
                </c:pt>
                <c:pt idx="3">
                  <c:v>CONMEBOL</c:v>
                </c:pt>
                <c:pt idx="4">
                  <c:v>OFC</c:v>
                </c:pt>
                <c:pt idx="5">
                  <c:v>UEFA</c:v>
                </c:pt>
              </c:strCache>
            </c:strRef>
          </c:cat>
          <c:val>
            <c:numRef>
              <c:f>Aux_Graficos!$B$27:$B$32</c:f>
              <c:numCache>
                <c:formatCode>0.0%</c:formatCode>
                <c:ptCount val="6"/>
                <c:pt idx="0">
                  <c:v>1.4620891827363184E-2</c:v>
                </c:pt>
                <c:pt idx="1">
                  <c:v>2.8133782042715019E-2</c:v>
                </c:pt>
                <c:pt idx="2">
                  <c:v>3.4155861384177158E-2</c:v>
                </c:pt>
                <c:pt idx="3">
                  <c:v>0.31134772830376145</c:v>
                </c:pt>
                <c:pt idx="4">
                  <c:v>3.1787893456914002E-5</c:v>
                </c:pt>
                <c:pt idx="5">
                  <c:v>0.61170994854852667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8-4551-A322-12FE4D449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Evolución del rating ELO de las potencias (1930 → 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ELO_Historico!$B$2</c:f>
              <c:strCache>
                <c:ptCount val="1"/>
                <c:pt idx="0">
                  <c:v>Brasil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ELO_Historico!$B$3:$B$25</c:f>
              <c:numCache>
                <c:formatCode>#,##0</c:formatCode>
                <c:ptCount val="23"/>
                <c:pt idx="0">
                  <c:v>1700</c:v>
                </c:pt>
                <c:pt idx="1">
                  <c:v>1720</c:v>
                </c:pt>
                <c:pt idx="2">
                  <c:v>1800</c:v>
                </c:pt>
                <c:pt idx="3">
                  <c:v>1900</c:v>
                </c:pt>
                <c:pt idx="4">
                  <c:v>1890</c:v>
                </c:pt>
                <c:pt idx="5">
                  <c:v>1950</c:v>
                </c:pt>
                <c:pt idx="6">
                  <c:v>1980</c:v>
                </c:pt>
                <c:pt idx="7">
                  <c:v>1980</c:v>
                </c:pt>
                <c:pt idx="8">
                  <c:v>2000</c:v>
                </c:pt>
                <c:pt idx="9">
                  <c:v>1980</c:v>
                </c:pt>
                <c:pt idx="10">
                  <c:v>1990</c:v>
                </c:pt>
                <c:pt idx="11">
                  <c:v>2000</c:v>
                </c:pt>
                <c:pt idx="12">
                  <c:v>1990</c:v>
                </c:pt>
                <c:pt idx="14">
                  <c:v>2000</c:v>
                </c:pt>
                <c:pt idx="15">
                  <c:v>2010</c:v>
                </c:pt>
                <c:pt idx="16">
                  <c:v>2050</c:v>
                </c:pt>
                <c:pt idx="17">
                  <c:v>2030</c:v>
                </c:pt>
                <c:pt idx="18">
                  <c:v>2040</c:v>
                </c:pt>
                <c:pt idx="19">
                  <c:v>2020</c:v>
                </c:pt>
                <c:pt idx="20">
                  <c:v>2030</c:v>
                </c:pt>
                <c:pt idx="21">
                  <c:v>2030</c:v>
                </c:pt>
                <c:pt idx="22">
                  <c:v>2030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8-455C-8CD4-7CC63EC9EA9A}"/>
            </c:ext>
          </c:extLst>
        </c:ser>
        <c:ser>
          <c:idx val="1"/>
          <c:order val="1"/>
          <c:tx>
            <c:strRef>
              <c:f>ELO_Historico!$C$2</c:f>
              <c:strCache>
                <c:ptCount val="1"/>
                <c:pt idx="0">
                  <c:v>Francia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ELO_Historico!$C$3:$C$25</c:f>
              <c:numCache>
                <c:formatCode>#,##0</c:formatCode>
                <c:ptCount val="23"/>
                <c:pt idx="0">
                  <c:v>1700</c:v>
                </c:pt>
                <c:pt idx="2">
                  <c:v>1730</c:v>
                </c:pt>
                <c:pt idx="5">
                  <c:v>1800</c:v>
                </c:pt>
                <c:pt idx="11">
                  <c:v>1900</c:v>
                </c:pt>
                <c:pt idx="12">
                  <c:v>1920</c:v>
                </c:pt>
                <c:pt idx="15">
                  <c:v>1970</c:v>
                </c:pt>
                <c:pt idx="17">
                  <c:v>1960</c:v>
                </c:pt>
                <c:pt idx="19">
                  <c:v>1960</c:v>
                </c:pt>
                <c:pt idx="20">
                  <c:v>1980</c:v>
                </c:pt>
                <c:pt idx="21">
                  <c:v>1980</c:v>
                </c:pt>
                <c:pt idx="22">
                  <c:v>1990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08-455C-8CD4-7CC63EC9EA9A}"/>
            </c:ext>
          </c:extLst>
        </c:ser>
        <c:ser>
          <c:idx val="2"/>
          <c:order val="2"/>
          <c:tx>
            <c:strRef>
              <c:f>ELO_Historico!$D$2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ELO_Historico!$D$3:$D$25</c:f>
              <c:numCache>
                <c:formatCode>#,##0</c:formatCode>
                <c:ptCount val="23"/>
                <c:pt idx="1">
                  <c:v>1780</c:v>
                </c:pt>
                <c:pt idx="3">
                  <c:v>1820</c:v>
                </c:pt>
                <c:pt idx="11">
                  <c:v>1890</c:v>
                </c:pt>
                <c:pt idx="12">
                  <c:v>1880</c:v>
                </c:pt>
                <c:pt idx="14">
                  <c:v>1910</c:v>
                </c:pt>
                <c:pt idx="16">
                  <c:v>1920</c:v>
                </c:pt>
                <c:pt idx="18">
                  <c:v>1980</c:v>
                </c:pt>
                <c:pt idx="22">
                  <c:v>1990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08-455C-8CD4-7CC63EC9EA9A}"/>
            </c:ext>
          </c:extLst>
        </c:ser>
        <c:ser>
          <c:idx val="3"/>
          <c:order val="3"/>
          <c:tx>
            <c:strRef>
              <c:f>ELO_Historico!$E$2</c:f>
              <c:strCache>
                <c:ptCount val="1"/>
                <c:pt idx="0">
                  <c:v>Argentina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ELO_Historico!$E$3:$E$25</c:f>
              <c:numCache>
                <c:formatCode>#,##0</c:formatCode>
                <c:ptCount val="23"/>
                <c:pt idx="0">
                  <c:v>1900</c:v>
                </c:pt>
                <c:pt idx="5">
                  <c:v>1830</c:v>
                </c:pt>
                <c:pt idx="7">
                  <c:v>1860</c:v>
                </c:pt>
                <c:pt idx="9">
                  <c:v>1890</c:v>
                </c:pt>
                <c:pt idx="10">
                  <c:v>1960</c:v>
                </c:pt>
                <c:pt idx="11">
                  <c:v>1920</c:v>
                </c:pt>
                <c:pt idx="12">
                  <c:v>1970</c:v>
                </c:pt>
                <c:pt idx="13">
                  <c:v>1950</c:v>
                </c:pt>
                <c:pt idx="15">
                  <c:v>1950</c:v>
                </c:pt>
                <c:pt idx="17">
                  <c:v>1960</c:v>
                </c:pt>
                <c:pt idx="18">
                  <c:v>1960</c:v>
                </c:pt>
                <c:pt idx="19">
                  <c:v>1960</c:v>
                </c:pt>
                <c:pt idx="21">
                  <c:v>1980</c:v>
                </c:pt>
                <c:pt idx="22">
                  <c:v>1980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08-455C-8CD4-7CC63EC9EA9A}"/>
            </c:ext>
          </c:extLst>
        </c:ser>
        <c:ser>
          <c:idx val="4"/>
          <c:order val="4"/>
          <c:tx>
            <c:strRef>
              <c:f>ELO_Historico!$F$2</c:f>
              <c:strCache>
                <c:ptCount val="1"/>
                <c:pt idx="0">
                  <c:v>Alemania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ELO_Historico!$F$3:$F$25</c:f>
              <c:numCache>
                <c:formatCode>#,##0</c:formatCode>
                <c:ptCount val="23"/>
                <c:pt idx="1">
                  <c:v>1820</c:v>
                </c:pt>
                <c:pt idx="14">
                  <c:v>1960</c:v>
                </c:pt>
                <c:pt idx="15">
                  <c:v>1960</c:v>
                </c:pt>
                <c:pt idx="16">
                  <c:v>1940</c:v>
                </c:pt>
                <c:pt idx="17">
                  <c:v>1960</c:v>
                </c:pt>
                <c:pt idx="18">
                  <c:v>1960</c:v>
                </c:pt>
                <c:pt idx="19">
                  <c:v>1990</c:v>
                </c:pt>
                <c:pt idx="22">
                  <c:v>1960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08-455C-8CD4-7CC63EC9EA9A}"/>
            </c:ext>
          </c:extLst>
        </c:ser>
        <c:ser>
          <c:idx val="5"/>
          <c:order val="5"/>
          <c:tx>
            <c:strRef>
              <c:f>ELO_Historico!$G$2</c:f>
              <c:strCache>
                <c:ptCount val="1"/>
                <c:pt idx="0">
                  <c:v>Inglaterra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ELO_Historico!$A$3:$A$25</c:f>
              <c:strCache>
                <c:ptCount val="23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  <c:pt idx="20">
                  <c:v>2018</c:v>
                </c:pt>
                <c:pt idx="21">
                  <c:v>2022</c:v>
                </c:pt>
                <c:pt idx="22">
                  <c:v>2026</c:v>
                </c:pt>
              </c:strCache>
            </c:strRef>
          </c:cat>
          <c:val>
            <c:numRef>
              <c:f>ELO_Historico!$G$3:$G$25</c:f>
              <c:numCache>
                <c:formatCode>#,##0</c:formatCode>
                <c:ptCount val="23"/>
                <c:pt idx="3">
                  <c:v>1800</c:v>
                </c:pt>
                <c:pt idx="4">
                  <c:v>1820</c:v>
                </c:pt>
                <c:pt idx="6">
                  <c:v>1860</c:v>
                </c:pt>
                <c:pt idx="7">
                  <c:v>1940</c:v>
                </c:pt>
                <c:pt idx="8">
                  <c:v>1940</c:v>
                </c:pt>
                <c:pt idx="11">
                  <c:v>1900</c:v>
                </c:pt>
                <c:pt idx="12">
                  <c:v>1880</c:v>
                </c:pt>
                <c:pt idx="13">
                  <c:v>1910</c:v>
                </c:pt>
                <c:pt idx="15">
                  <c:v>1900</c:v>
                </c:pt>
                <c:pt idx="16">
                  <c:v>1900</c:v>
                </c:pt>
                <c:pt idx="17">
                  <c:v>1910</c:v>
                </c:pt>
                <c:pt idx="20">
                  <c:v>1900</c:v>
                </c:pt>
                <c:pt idx="21">
                  <c:v>1930</c:v>
                </c:pt>
                <c:pt idx="22">
                  <c:v>1940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08-455C-8CD4-7CC63EC9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Backtesting: tasa de acierto del campeón real (22 ediciones)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Evaluacion!$B$37</c:f>
              <c:strCache>
                <c:ptCount val="1"/>
                <c:pt idx="0">
                  <c:v>Top-1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Evaluacion!$A$38:$A$40</c:f>
              <c:strCache>
                <c:ptCount val="3"/>
                <c:pt idx="0">
                  <c:v>Random Forest</c:v>
                </c:pt>
                <c:pt idx="1">
                  <c:v>Regresión Logística</c:v>
                </c:pt>
                <c:pt idx="2">
                  <c:v>Referencia por azar</c:v>
                </c:pt>
              </c:strCache>
            </c:strRef>
          </c:cat>
          <c:val>
            <c:numRef>
              <c:f>Evaluacion!$B$38:$B$39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2-4FFE-B9B9-CD350877CC19}"/>
            </c:ext>
          </c:extLst>
        </c:ser>
        <c:ser>
          <c:idx val="1"/>
          <c:order val="1"/>
          <c:tx>
            <c:strRef>
              <c:f>Evaluacion!$C$37</c:f>
              <c:strCache>
                <c:ptCount val="1"/>
                <c:pt idx="0">
                  <c:v>Top-3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Evaluacion!$A$38:$A$40</c:f>
              <c:strCache>
                <c:ptCount val="3"/>
                <c:pt idx="0">
                  <c:v>Random Forest</c:v>
                </c:pt>
                <c:pt idx="1">
                  <c:v>Regresión Logística</c:v>
                </c:pt>
                <c:pt idx="2">
                  <c:v>Referencia por azar</c:v>
                </c:pt>
              </c:strCache>
            </c:strRef>
          </c:cat>
          <c:val>
            <c:numRef>
              <c:f>Evaluacion!$C$38:$C$39</c:f>
              <c:numCache>
                <c:formatCode>0.0%</c:formatCode>
                <c:ptCount val="2"/>
                <c:pt idx="0">
                  <c:v>0.95454545454545459</c:v>
                </c:pt>
                <c:pt idx="1">
                  <c:v>0.95454545454545459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2-4FFE-B9B9-CD350877CC19}"/>
            </c:ext>
          </c:extLst>
        </c:ser>
        <c:ser>
          <c:idx val="2"/>
          <c:order val="2"/>
          <c:tx>
            <c:strRef>
              <c:f>Evaluacion!$D$37</c:f>
              <c:strCache>
                <c:ptCount val="1"/>
                <c:pt idx="0">
                  <c:v>Top-5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Evaluacion!$A$38:$A$40</c:f>
              <c:strCache>
                <c:ptCount val="3"/>
                <c:pt idx="0">
                  <c:v>Random Forest</c:v>
                </c:pt>
                <c:pt idx="1">
                  <c:v>Regresión Logística</c:v>
                </c:pt>
                <c:pt idx="2">
                  <c:v>Referencia por azar</c:v>
                </c:pt>
              </c:strCache>
            </c:strRef>
          </c:cat>
          <c:val>
            <c:numRef>
              <c:f>Evaluacion!$D$38:$D$39</c:f>
              <c:numCache>
                <c:formatCode>0.0%</c:formatCode>
                <c:ptCount val="2"/>
                <c:pt idx="0">
                  <c:v>1</c:v>
                </c:pt>
                <c:pt idx="1">
                  <c:v>0.95454545454545459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2-4FFE-B9B9-CD350877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9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8</xdr:row>
      <xdr:rowOff>0</xdr:rowOff>
    </xdr:from>
    <xdr:ext cx="59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940000" cy="37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32</xdr:row>
      <xdr:rowOff>0</xdr:rowOff>
    </xdr:from>
    <xdr:ext cx="5940000" cy="37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5"/>
  <sheetViews>
    <sheetView showGridLines="0" tabSelected="1" workbookViewId="0">
      <selection sqref="A1:T1"/>
    </sheetView>
  </sheetViews>
  <sheetFormatPr baseColWidth="10" defaultColWidth="8.88671875" defaultRowHeight="14.4" x14ac:dyDescent="0.3"/>
  <cols>
    <col min="1" max="20" width="10.44140625" customWidth="1"/>
  </cols>
  <sheetData>
    <row r="1" spans="1:20" ht="34.049999999999997" customHeight="1" x14ac:dyDescent="0.3">
      <c r="A1" s="27" t="s">
        <v>219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18" customHeight="1" x14ac:dyDescent="0.3">
      <c r="A2" s="43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4" spans="1:20" ht="16.05" customHeight="1" x14ac:dyDescent="0.3">
      <c r="A4" s="36" t="s">
        <v>1</v>
      </c>
      <c r="B4" s="30"/>
      <c r="C4" s="30"/>
      <c r="D4" s="33" t="s">
        <v>2</v>
      </c>
      <c r="E4" s="34"/>
      <c r="F4" s="34"/>
      <c r="G4" s="35" t="s">
        <v>3</v>
      </c>
      <c r="H4" s="32"/>
      <c r="I4" s="32"/>
      <c r="J4" s="53" t="s">
        <v>4</v>
      </c>
      <c r="K4" s="46"/>
      <c r="L4" s="46"/>
      <c r="M4" s="40" t="s">
        <v>5</v>
      </c>
      <c r="N4" s="41"/>
      <c r="O4" s="41"/>
      <c r="P4" s="44" t="s">
        <v>6</v>
      </c>
      <c r="Q4" s="39"/>
      <c r="R4" s="39"/>
    </row>
    <row r="5" spans="1:20" ht="30" customHeight="1" x14ac:dyDescent="0.3">
      <c r="A5" s="29" t="str">
        <f>Probabilidades!B2</f>
        <v>Brasil</v>
      </c>
      <c r="B5" s="30"/>
      <c r="C5" s="30"/>
      <c r="D5" s="37">
        <f>Probabilidades!J2</f>
        <v>0.16217588147555309</v>
      </c>
      <c r="E5" s="34"/>
      <c r="F5" s="34"/>
      <c r="G5" s="31" t="str">
        <f>Probabilidades!B3&amp;" ("&amp;FIXED(Probabilidades!J3*100,1)&amp;"%)"</f>
        <v>Francia (14,0%)</v>
      </c>
      <c r="H5" s="32"/>
      <c r="I5" s="32"/>
      <c r="J5" s="45">
        <v>10000</v>
      </c>
      <c r="K5" s="46"/>
      <c r="L5" s="46"/>
      <c r="M5" s="48">
        <f>Evaluacion!C38</f>
        <v>0.95454545454545459</v>
      </c>
      <c r="N5" s="41"/>
      <c r="O5" s="41"/>
      <c r="P5" s="38">
        <v>0.92700000000000005</v>
      </c>
      <c r="Q5" s="39"/>
      <c r="R5" s="39"/>
    </row>
    <row r="6" spans="1:20" ht="16.05" customHeight="1" x14ac:dyDescent="0.3">
      <c r="A6" s="47" t="s">
        <v>7</v>
      </c>
      <c r="B6" s="30"/>
      <c r="C6" s="30"/>
      <c r="D6" s="49" t="s">
        <v>8</v>
      </c>
      <c r="E6" s="34"/>
      <c r="F6" s="34"/>
      <c r="G6" s="52" t="str">
        <f>"3º: "&amp;Probabilidades!B4&amp;" ("&amp;FIXED(Probabilidades!J4*100,1)&amp;"%)"</f>
        <v>3º: España (12,6%)</v>
      </c>
      <c r="H6" s="32"/>
      <c r="I6" s="32"/>
      <c r="J6" s="51" t="s">
        <v>9</v>
      </c>
      <c r="K6" s="46"/>
      <c r="L6" s="46"/>
      <c r="M6" s="54" t="s">
        <v>10</v>
      </c>
      <c r="N6" s="41"/>
      <c r="O6" s="41"/>
      <c r="P6" s="50" t="s">
        <v>11</v>
      </c>
      <c r="Q6" s="39"/>
      <c r="R6" s="39"/>
    </row>
    <row r="55" spans="1:20" x14ac:dyDescent="0.3">
      <c r="A55" s="42" t="s">
        <v>12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</sheetData>
  <mergeCells count="21">
    <mergeCell ref="A55:T55"/>
    <mergeCell ref="A2:T2"/>
    <mergeCell ref="P4:R4"/>
    <mergeCell ref="J5:L5"/>
    <mergeCell ref="A6:C6"/>
    <mergeCell ref="M5:O5"/>
    <mergeCell ref="D6:F6"/>
    <mergeCell ref="P6:R6"/>
    <mergeCell ref="J6:L6"/>
    <mergeCell ref="G6:I6"/>
    <mergeCell ref="J4:L4"/>
    <mergeCell ref="M6:O6"/>
    <mergeCell ref="A1:T1"/>
    <mergeCell ref="A5:C5"/>
    <mergeCell ref="G5:I5"/>
    <mergeCell ref="D4:F4"/>
    <mergeCell ref="G4:I4"/>
    <mergeCell ref="A4:C4"/>
    <mergeCell ref="D5:F5"/>
    <mergeCell ref="P5:R5"/>
    <mergeCell ref="M4:O4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17" customWidth="1"/>
    <col min="3" max="3" width="7" customWidth="1"/>
    <col min="4" max="4" width="13" customWidth="1"/>
    <col min="5" max="6" width="9" customWidth="1"/>
    <col min="7" max="9" width="11" customWidth="1"/>
    <col min="10" max="10" width="13" customWidth="1"/>
    <col min="11" max="11" width="11" customWidth="1"/>
    <col min="12" max="14" width="9" customWidth="1"/>
    <col min="15" max="15" width="10" customWidth="1"/>
    <col min="16" max="16" width="9" customWidth="1"/>
    <col min="17" max="17" width="10" customWidth="1"/>
  </cols>
  <sheetData>
    <row r="1" spans="1:17" ht="39.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3">
      <c r="A2" s="2">
        <f t="shared" ref="A2:A49" si="0">ROW()-1</f>
        <v>1</v>
      </c>
      <c r="B2" s="3" t="s">
        <v>30</v>
      </c>
      <c r="C2" s="2" t="s">
        <v>31</v>
      </c>
      <c r="D2" s="2" t="s">
        <v>32</v>
      </c>
      <c r="E2" s="2">
        <v>6</v>
      </c>
      <c r="F2" s="2">
        <v>2030</v>
      </c>
      <c r="G2" s="4">
        <v>2034</v>
      </c>
      <c r="H2" s="5">
        <v>0.24010000000000001</v>
      </c>
      <c r="I2" s="5">
        <v>4.5289703688882847E-2</v>
      </c>
      <c r="J2" s="6">
        <v>0.16217588147555309</v>
      </c>
      <c r="K2" s="5">
        <v>9.1999999999999998E-2</v>
      </c>
      <c r="L2" s="5">
        <v>1</v>
      </c>
      <c r="M2" s="5">
        <v>0.95319999999999994</v>
      </c>
      <c r="N2" s="5">
        <v>0.77879999999999994</v>
      </c>
      <c r="O2" s="5">
        <v>0.55720000000000003</v>
      </c>
      <c r="P2" s="5">
        <v>0.37619999999999998</v>
      </c>
      <c r="Q2" s="5">
        <v>0.24010000000000001</v>
      </c>
    </row>
    <row r="3" spans="1:17" x14ac:dyDescent="0.3">
      <c r="A3" s="7">
        <f t="shared" si="0"/>
        <v>2</v>
      </c>
      <c r="B3" s="8" t="s">
        <v>33</v>
      </c>
      <c r="C3" s="7" t="s">
        <v>34</v>
      </c>
      <c r="D3" s="7" t="s">
        <v>35</v>
      </c>
      <c r="E3" s="7">
        <v>1</v>
      </c>
      <c r="F3" s="7">
        <v>1990</v>
      </c>
      <c r="G3" s="9">
        <v>2018</v>
      </c>
      <c r="H3" s="10">
        <v>0.18709999999999999</v>
      </c>
      <c r="I3" s="10">
        <v>6.8647908211007469E-2</v>
      </c>
      <c r="J3" s="10">
        <v>0.13971916328440301</v>
      </c>
      <c r="K3" s="10">
        <v>0.14199999999999999</v>
      </c>
      <c r="L3" s="10">
        <v>0.9998999999999999</v>
      </c>
      <c r="M3" s="10">
        <v>0.93840000000000001</v>
      </c>
      <c r="N3" s="10">
        <v>0.72549999999999992</v>
      </c>
      <c r="O3" s="10">
        <v>0.49559999999999998</v>
      </c>
      <c r="P3" s="10">
        <v>0.3115</v>
      </c>
      <c r="Q3" s="10">
        <v>0.18709999999999999</v>
      </c>
    </row>
    <row r="4" spans="1:17" x14ac:dyDescent="0.3">
      <c r="A4" s="2">
        <f t="shared" si="0"/>
        <v>3</v>
      </c>
      <c r="B4" s="11" t="s">
        <v>36</v>
      </c>
      <c r="C4" s="2" t="s">
        <v>37</v>
      </c>
      <c r="D4" s="2" t="s">
        <v>35</v>
      </c>
      <c r="E4" s="2">
        <v>2</v>
      </c>
      <c r="F4" s="2">
        <v>1990</v>
      </c>
      <c r="G4" s="4">
        <v>2010</v>
      </c>
      <c r="H4" s="5">
        <v>0.1573</v>
      </c>
      <c r="I4" s="5">
        <v>7.8777576379965158E-2</v>
      </c>
      <c r="J4" s="5">
        <v>0.12589103055198611</v>
      </c>
      <c r="K4" s="5">
        <v>0.128</v>
      </c>
      <c r="L4" s="5">
        <v>1</v>
      </c>
      <c r="M4" s="5">
        <v>0.93299999999999994</v>
      </c>
      <c r="N4" s="5">
        <v>0.70069999999999988</v>
      </c>
      <c r="O4" s="5">
        <v>0.4708</v>
      </c>
      <c r="P4" s="5">
        <v>0.28660000000000002</v>
      </c>
      <c r="Q4" s="5">
        <v>0.1573</v>
      </c>
    </row>
    <row r="5" spans="1:17" x14ac:dyDescent="0.3">
      <c r="A5" s="7">
        <f t="shared" si="0"/>
        <v>4</v>
      </c>
      <c r="B5" s="8" t="s">
        <v>38</v>
      </c>
      <c r="C5" s="7" t="s">
        <v>39</v>
      </c>
      <c r="D5" s="7" t="s">
        <v>32</v>
      </c>
      <c r="E5" s="7">
        <v>3</v>
      </c>
      <c r="F5" s="7">
        <v>1980</v>
      </c>
      <c r="G5" s="9">
        <v>1992</v>
      </c>
      <c r="H5" s="10">
        <v>0.1191</v>
      </c>
      <c r="I5" s="10">
        <v>6.500236944304677E-2</v>
      </c>
      <c r="J5" s="10">
        <v>9.7460947777218726E-2</v>
      </c>
      <c r="K5" s="10">
        <v>0.115</v>
      </c>
      <c r="L5" s="10">
        <v>0.99970000000000003</v>
      </c>
      <c r="M5" s="10">
        <v>0.92540000000000011</v>
      </c>
      <c r="N5" s="10">
        <v>0.68810000000000004</v>
      </c>
      <c r="O5" s="10">
        <v>0.434</v>
      </c>
      <c r="P5" s="10">
        <v>0.23480000000000001</v>
      </c>
      <c r="Q5" s="10">
        <v>0.1191</v>
      </c>
    </row>
    <row r="6" spans="1:17" x14ac:dyDescent="0.3">
      <c r="A6" s="2">
        <f t="shared" si="0"/>
        <v>5</v>
      </c>
      <c r="B6" s="11" t="s">
        <v>40</v>
      </c>
      <c r="C6" s="2" t="s">
        <v>41</v>
      </c>
      <c r="D6" s="2" t="s">
        <v>35</v>
      </c>
      <c r="E6" s="2">
        <v>10</v>
      </c>
      <c r="F6" s="2">
        <v>1960</v>
      </c>
      <c r="G6" s="4">
        <v>1964</v>
      </c>
      <c r="H6" s="5">
        <v>7.3800000000000004E-2</v>
      </c>
      <c r="I6" s="5">
        <v>6.0296337780240183E-2</v>
      </c>
      <c r="J6" s="5">
        <v>6.8398535112096079E-2</v>
      </c>
      <c r="K6" s="5">
        <v>6.2E-2</v>
      </c>
      <c r="L6" s="5">
        <v>1</v>
      </c>
      <c r="M6" s="5">
        <v>0.90959999999999996</v>
      </c>
      <c r="N6" s="5">
        <v>0.63190000000000002</v>
      </c>
      <c r="O6" s="5">
        <v>0.34849999999999998</v>
      </c>
      <c r="P6" s="5">
        <v>0.1704</v>
      </c>
      <c r="Q6" s="5">
        <v>7.3800000000000004E-2</v>
      </c>
    </row>
    <row r="7" spans="1:17" x14ac:dyDescent="0.3">
      <c r="A7" s="7">
        <f t="shared" si="0"/>
        <v>6</v>
      </c>
      <c r="B7" s="8" t="s">
        <v>42</v>
      </c>
      <c r="C7" s="7" t="s">
        <v>43</v>
      </c>
      <c r="D7" s="7" t="s">
        <v>35</v>
      </c>
      <c r="E7" s="7">
        <v>4</v>
      </c>
      <c r="F7" s="7">
        <v>1940</v>
      </c>
      <c r="G7" s="9">
        <v>1956</v>
      </c>
      <c r="H7" s="10">
        <v>5.5399999999999998E-2</v>
      </c>
      <c r="I7" s="10">
        <v>7.9232409609514692E-2</v>
      </c>
      <c r="J7" s="10">
        <v>6.4932963843805883E-2</v>
      </c>
      <c r="K7" s="10">
        <v>0.108</v>
      </c>
      <c r="L7" s="10">
        <v>0.99919999999999998</v>
      </c>
      <c r="M7" s="10">
        <v>0.85880000000000001</v>
      </c>
      <c r="N7" s="10">
        <v>0.53689999999999993</v>
      </c>
      <c r="O7" s="10">
        <v>0.28070000000000001</v>
      </c>
      <c r="P7" s="10">
        <v>0.12790000000000001</v>
      </c>
      <c r="Q7" s="10">
        <v>5.5399999999999998E-2</v>
      </c>
    </row>
    <row r="8" spans="1:17" x14ac:dyDescent="0.3">
      <c r="A8" s="2">
        <f t="shared" si="0"/>
        <v>7</v>
      </c>
      <c r="B8" s="11" t="s">
        <v>44</v>
      </c>
      <c r="C8" s="2" t="s">
        <v>45</v>
      </c>
      <c r="D8" s="2" t="s">
        <v>35</v>
      </c>
      <c r="E8" s="2">
        <v>7</v>
      </c>
      <c r="F8" s="2">
        <v>1940</v>
      </c>
      <c r="G8" s="4">
        <v>1960</v>
      </c>
      <c r="H8" s="5">
        <v>5.45E-2</v>
      </c>
      <c r="I8" s="5">
        <v>7.4395576761914869E-2</v>
      </c>
      <c r="J8" s="5">
        <v>6.245823070476595E-2</v>
      </c>
      <c r="K8" s="5">
        <v>6.8000000000000005E-2</v>
      </c>
      <c r="L8" s="5">
        <v>0.99560000000000004</v>
      </c>
      <c r="M8" s="5">
        <v>0.85270000000000001</v>
      </c>
      <c r="N8" s="5">
        <v>0.54749999999999999</v>
      </c>
      <c r="O8" s="5">
        <v>0.2838</v>
      </c>
      <c r="P8" s="5">
        <v>0.13400000000000001</v>
      </c>
      <c r="Q8" s="5">
        <v>5.45E-2</v>
      </c>
    </row>
    <row r="9" spans="1:17" x14ac:dyDescent="0.3">
      <c r="A9" s="7">
        <f t="shared" si="0"/>
        <v>8</v>
      </c>
      <c r="B9" s="8" t="s">
        <v>46</v>
      </c>
      <c r="C9" s="7" t="s">
        <v>47</v>
      </c>
      <c r="D9" s="7" t="s">
        <v>35</v>
      </c>
      <c r="E9" s="7">
        <v>5</v>
      </c>
      <c r="F9" s="7">
        <v>1940</v>
      </c>
      <c r="G9" s="9">
        <v>1952</v>
      </c>
      <c r="H9" s="10">
        <v>5.0599999999999999E-2</v>
      </c>
      <c r="I9" s="10">
        <v>7.1671337159006032E-2</v>
      </c>
      <c r="J9" s="10">
        <v>5.9028534863602412E-2</v>
      </c>
      <c r="K9" s="10">
        <v>7.400000000000001E-2</v>
      </c>
      <c r="L9" s="10">
        <v>0.99860000000000004</v>
      </c>
      <c r="M9" s="10">
        <v>0.85319999999999996</v>
      </c>
      <c r="N9" s="10">
        <v>0.52590000000000003</v>
      </c>
      <c r="O9" s="10">
        <v>0.27789999999999998</v>
      </c>
      <c r="P9" s="10">
        <v>0.1242</v>
      </c>
      <c r="Q9" s="10">
        <v>5.0599999999999999E-2</v>
      </c>
    </row>
    <row r="10" spans="1:17" x14ac:dyDescent="0.3">
      <c r="A10" s="2">
        <f t="shared" si="0"/>
        <v>9</v>
      </c>
      <c r="B10" s="11" t="s">
        <v>48</v>
      </c>
      <c r="C10" s="2" t="s">
        <v>49</v>
      </c>
      <c r="D10" s="2" t="s">
        <v>35</v>
      </c>
      <c r="E10" s="2">
        <v>9</v>
      </c>
      <c r="F10" s="2">
        <v>1900</v>
      </c>
      <c r="G10" s="4">
        <v>1912</v>
      </c>
      <c r="H10" s="5">
        <v>2.07E-2</v>
      </c>
      <c r="I10" s="5">
        <v>5.7648476846316091E-2</v>
      </c>
      <c r="J10" s="5">
        <v>3.5479390738526427E-2</v>
      </c>
      <c r="K10" s="5">
        <v>5.8000000000000003E-2</v>
      </c>
      <c r="L10" s="5">
        <v>0.99870000000000003</v>
      </c>
      <c r="M10" s="5">
        <v>0.81290000000000007</v>
      </c>
      <c r="N10" s="5">
        <v>0.46039999999999998</v>
      </c>
      <c r="O10" s="5">
        <v>0.18679999999999999</v>
      </c>
      <c r="P10" s="5">
        <v>6.480000000000001E-2</v>
      </c>
      <c r="Q10" s="5">
        <v>2.07E-2</v>
      </c>
    </row>
    <row r="11" spans="1:17" x14ac:dyDescent="0.3">
      <c r="A11" s="7">
        <f t="shared" si="0"/>
        <v>10</v>
      </c>
      <c r="B11" s="8" t="s">
        <v>50</v>
      </c>
      <c r="C11" s="7" t="s">
        <v>43</v>
      </c>
      <c r="D11" s="7" t="s">
        <v>35</v>
      </c>
      <c r="E11" s="7">
        <v>11</v>
      </c>
      <c r="F11" s="7">
        <v>1880</v>
      </c>
      <c r="G11" s="9">
        <v>1880</v>
      </c>
      <c r="H11" s="10">
        <v>6.3E-3</v>
      </c>
      <c r="I11" s="10">
        <v>5.5475883691229681E-2</v>
      </c>
      <c r="J11" s="10">
        <v>2.5970353476491879E-2</v>
      </c>
      <c r="K11" s="10">
        <v>2.8000000000000001E-2</v>
      </c>
      <c r="L11" s="10">
        <v>0.99150000000000005</v>
      </c>
      <c r="M11" s="10">
        <v>0.64980000000000004</v>
      </c>
      <c r="N11" s="10">
        <v>0.2465</v>
      </c>
      <c r="O11" s="10">
        <v>8.7599999999999997E-2</v>
      </c>
      <c r="P11" s="10">
        <v>2.52E-2</v>
      </c>
      <c r="Q11" s="10">
        <v>6.3E-3</v>
      </c>
    </row>
    <row r="12" spans="1:17" x14ac:dyDescent="0.3">
      <c r="A12" s="2">
        <f t="shared" si="0"/>
        <v>11</v>
      </c>
      <c r="B12" s="11" t="s">
        <v>51</v>
      </c>
      <c r="C12" s="2" t="s">
        <v>47</v>
      </c>
      <c r="D12" s="2" t="s">
        <v>32</v>
      </c>
      <c r="E12" s="2">
        <v>13</v>
      </c>
      <c r="F12" s="2">
        <v>1870</v>
      </c>
      <c r="G12" s="4">
        <v>1886</v>
      </c>
      <c r="H12" s="5">
        <v>8.3999999999999995E-3</v>
      </c>
      <c r="I12" s="5">
        <v>5.0812829033679577E-2</v>
      </c>
      <c r="J12" s="5">
        <v>2.5365131613471831E-2</v>
      </c>
      <c r="K12" s="5">
        <v>3.4000000000000002E-2</v>
      </c>
      <c r="L12" s="5">
        <v>0.99180000000000001</v>
      </c>
      <c r="M12" s="5">
        <v>0.66</v>
      </c>
      <c r="N12" s="5">
        <v>0.26440000000000002</v>
      </c>
      <c r="O12" s="5">
        <v>9.5899999999999999E-2</v>
      </c>
      <c r="P12" s="5">
        <v>2.9399999999999999E-2</v>
      </c>
      <c r="Q12" s="5">
        <v>8.3999999999999995E-3</v>
      </c>
    </row>
    <row r="13" spans="1:17" x14ac:dyDescent="0.3">
      <c r="A13" s="7">
        <f t="shared" si="0"/>
        <v>12</v>
      </c>
      <c r="B13" s="8" t="s">
        <v>52</v>
      </c>
      <c r="C13" s="7" t="s">
        <v>37</v>
      </c>
      <c r="D13" s="7" t="s">
        <v>32</v>
      </c>
      <c r="E13" s="7">
        <v>17</v>
      </c>
      <c r="F13" s="7">
        <v>1890</v>
      </c>
      <c r="G13" s="9">
        <v>1898</v>
      </c>
      <c r="H13" s="10">
        <v>9.4999999999999998E-3</v>
      </c>
      <c r="I13" s="10">
        <v>4.3546157160029068E-2</v>
      </c>
      <c r="J13" s="10">
        <v>2.3118462864011629E-2</v>
      </c>
      <c r="K13" s="10">
        <v>3.2000000000000001E-2</v>
      </c>
      <c r="L13" s="10">
        <v>0.99769999999999992</v>
      </c>
      <c r="M13" s="10">
        <v>0.70219999999999994</v>
      </c>
      <c r="N13" s="10">
        <v>0.27710000000000001</v>
      </c>
      <c r="O13" s="10">
        <v>0.1109</v>
      </c>
      <c r="P13" s="10">
        <v>3.5700000000000003E-2</v>
      </c>
      <c r="Q13" s="10">
        <v>9.4999999999999998E-3</v>
      </c>
    </row>
    <row r="14" spans="1:17" x14ac:dyDescent="0.3">
      <c r="A14" s="2">
        <f t="shared" si="0"/>
        <v>13</v>
      </c>
      <c r="B14" s="11" t="s">
        <v>53</v>
      </c>
      <c r="C14" s="2" t="s">
        <v>31</v>
      </c>
      <c r="D14" s="2" t="s">
        <v>54</v>
      </c>
      <c r="E14" s="2">
        <v>8</v>
      </c>
      <c r="F14" s="2">
        <v>1860</v>
      </c>
      <c r="G14" s="4">
        <v>1868</v>
      </c>
      <c r="H14" s="5">
        <v>4.0999999999999986E-3</v>
      </c>
      <c r="I14" s="5">
        <v>4.7887702764396793E-2</v>
      </c>
      <c r="J14" s="5">
        <v>2.1615081105758719E-2</v>
      </c>
      <c r="K14" s="5">
        <v>4.2000000000000003E-2</v>
      </c>
      <c r="L14" s="5">
        <v>0.98430000000000006</v>
      </c>
      <c r="M14" s="5">
        <v>0.53520000000000001</v>
      </c>
      <c r="N14" s="5">
        <v>0.1837</v>
      </c>
      <c r="O14" s="5">
        <v>6.3600000000000004E-2</v>
      </c>
      <c r="P14" s="5">
        <v>1.6400000000000001E-2</v>
      </c>
      <c r="Q14" s="5">
        <v>4.0999999999999986E-3</v>
      </c>
    </row>
    <row r="15" spans="1:17" x14ac:dyDescent="0.3">
      <c r="A15" s="7">
        <f t="shared" si="0"/>
        <v>14</v>
      </c>
      <c r="B15" s="8" t="s">
        <v>55</v>
      </c>
      <c r="C15" s="7" t="s">
        <v>56</v>
      </c>
      <c r="D15" s="7" t="s">
        <v>57</v>
      </c>
      <c r="E15" s="7">
        <v>16</v>
      </c>
      <c r="F15" s="7">
        <v>1820</v>
      </c>
      <c r="G15" s="9">
        <v>1882</v>
      </c>
      <c r="H15" s="10">
        <v>7.3000000000000001E-3</v>
      </c>
      <c r="I15" s="10">
        <v>3.6247307100377421E-2</v>
      </c>
      <c r="J15" s="10">
        <v>1.8878922840150969E-2</v>
      </c>
      <c r="K15" s="10">
        <v>3.7999999999999999E-2</v>
      </c>
      <c r="L15" s="10">
        <v>0.96260000000000001</v>
      </c>
      <c r="M15" s="10">
        <v>0.65049999999999997</v>
      </c>
      <c r="N15" s="10">
        <v>0.28589999999999999</v>
      </c>
      <c r="O15" s="10">
        <v>9.2200000000000004E-2</v>
      </c>
      <c r="P15" s="10">
        <v>2.7099999999999999E-2</v>
      </c>
      <c r="Q15" s="10">
        <v>7.3000000000000001E-3</v>
      </c>
    </row>
    <row r="16" spans="1:17" x14ac:dyDescent="0.3">
      <c r="A16" s="2">
        <f t="shared" si="0"/>
        <v>15</v>
      </c>
      <c r="B16" s="11" t="s">
        <v>58</v>
      </c>
      <c r="C16" s="2" t="s">
        <v>59</v>
      </c>
      <c r="D16" s="2" t="s">
        <v>57</v>
      </c>
      <c r="E16" s="2">
        <v>15</v>
      </c>
      <c r="F16" s="2">
        <v>1780</v>
      </c>
      <c r="G16" s="4">
        <v>1834</v>
      </c>
      <c r="H16" s="5">
        <v>1.5E-3</v>
      </c>
      <c r="I16" s="5">
        <v>2.5320244503615381E-2</v>
      </c>
      <c r="J16" s="5">
        <v>1.102809780144615E-2</v>
      </c>
      <c r="K16" s="5">
        <v>2.8000000000000001E-2</v>
      </c>
      <c r="L16" s="5">
        <v>0.96640000000000004</v>
      </c>
      <c r="M16" s="5">
        <v>0.52249999999999996</v>
      </c>
      <c r="N16" s="5">
        <v>0.1749</v>
      </c>
      <c r="O16" s="5">
        <v>4.1599999999999998E-2</v>
      </c>
      <c r="P16" s="5">
        <v>7.6E-3</v>
      </c>
      <c r="Q16" s="5">
        <v>1.5E-3</v>
      </c>
    </row>
    <row r="17" spans="1:17" x14ac:dyDescent="0.3">
      <c r="A17" s="7">
        <f t="shared" si="0"/>
        <v>16</v>
      </c>
      <c r="B17" s="8" t="s">
        <v>60</v>
      </c>
      <c r="C17" s="7" t="s">
        <v>61</v>
      </c>
      <c r="D17" s="7" t="s">
        <v>35</v>
      </c>
      <c r="E17" s="7">
        <v>19</v>
      </c>
      <c r="F17" s="7">
        <v>1820</v>
      </c>
      <c r="G17" s="9">
        <v>1828</v>
      </c>
      <c r="H17" s="10">
        <v>1.1999999999999999E-3</v>
      </c>
      <c r="I17" s="10">
        <v>1.8330547082509328E-2</v>
      </c>
      <c r="J17" s="10">
        <v>8.0522188330037318E-3</v>
      </c>
      <c r="K17" s="10">
        <v>1.6E-2</v>
      </c>
      <c r="L17" s="10">
        <v>0.98609999999999998</v>
      </c>
      <c r="M17" s="10">
        <v>0.56409999999999993</v>
      </c>
      <c r="N17" s="10">
        <v>0.17960000000000001</v>
      </c>
      <c r="O17" s="10">
        <v>3.8300000000000001E-2</v>
      </c>
      <c r="P17" s="10">
        <v>6.7999999999999996E-3</v>
      </c>
      <c r="Q17" s="10">
        <v>1.1999999999999999E-3</v>
      </c>
    </row>
    <row r="18" spans="1:17" x14ac:dyDescent="0.3">
      <c r="A18" s="2">
        <f t="shared" si="0"/>
        <v>17</v>
      </c>
      <c r="B18" s="11" t="s">
        <v>62</v>
      </c>
      <c r="C18" s="2" t="s">
        <v>59</v>
      </c>
      <c r="D18" s="2" t="s">
        <v>63</v>
      </c>
      <c r="E18" s="2">
        <v>25</v>
      </c>
      <c r="F18" s="2">
        <v>1800</v>
      </c>
      <c r="G18" s="4">
        <v>1804</v>
      </c>
      <c r="H18" s="5">
        <v>2.9999999999999997E-4</v>
      </c>
      <c r="I18" s="5">
        <v>1.417578536399117E-2</v>
      </c>
      <c r="J18" s="5">
        <v>5.8503141455964686E-3</v>
      </c>
      <c r="K18" s="5">
        <v>1.2E-2</v>
      </c>
      <c r="L18" s="5">
        <v>0.93409999999999993</v>
      </c>
      <c r="M18" s="5">
        <v>0.3926</v>
      </c>
      <c r="N18" s="5">
        <v>0.1053</v>
      </c>
      <c r="O18" s="5">
        <v>1.8800000000000001E-2</v>
      </c>
      <c r="P18" s="5">
        <v>3.3E-3</v>
      </c>
      <c r="Q18" s="5">
        <v>2.9999999999999997E-4</v>
      </c>
    </row>
    <row r="19" spans="1:17" x14ac:dyDescent="0.3">
      <c r="A19" s="7">
        <f t="shared" si="0"/>
        <v>18</v>
      </c>
      <c r="B19" s="8" t="s">
        <v>64</v>
      </c>
      <c r="C19" s="7" t="s">
        <v>45</v>
      </c>
      <c r="D19" s="7" t="s">
        <v>63</v>
      </c>
      <c r="E19" s="7">
        <v>18</v>
      </c>
      <c r="F19" s="7">
        <v>1800</v>
      </c>
      <c r="G19" s="9">
        <v>1816</v>
      </c>
      <c r="H19" s="10">
        <v>4.0000000000000002E-4</v>
      </c>
      <c r="I19" s="10">
        <v>1.385715155762832E-2</v>
      </c>
      <c r="J19" s="10">
        <v>5.7828606230513301E-3</v>
      </c>
      <c r="K19" s="10">
        <v>2.4E-2</v>
      </c>
      <c r="L19" s="10">
        <v>0.86239999999999994</v>
      </c>
      <c r="M19" s="10">
        <v>0.31359999999999999</v>
      </c>
      <c r="N19" s="10">
        <v>8.7799999999999989E-2</v>
      </c>
      <c r="O19" s="10">
        <v>2.0799999999999999E-2</v>
      </c>
      <c r="P19" s="10">
        <v>2.8999999999999998E-3</v>
      </c>
      <c r="Q19" s="10">
        <v>4.0000000000000002E-4</v>
      </c>
    </row>
    <row r="20" spans="1:17" x14ac:dyDescent="0.3">
      <c r="A20" s="2">
        <f t="shared" si="0"/>
        <v>19</v>
      </c>
      <c r="B20" s="11" t="s">
        <v>65</v>
      </c>
      <c r="C20" s="2" t="s">
        <v>34</v>
      </c>
      <c r="D20" s="2" t="s">
        <v>35</v>
      </c>
      <c r="E20" s="2">
        <v>32</v>
      </c>
      <c r="F20" s="2">
        <v>1800</v>
      </c>
      <c r="G20" s="4">
        <v>1820</v>
      </c>
      <c r="H20" s="5">
        <v>8.9999999999999998E-4</v>
      </c>
      <c r="I20" s="5">
        <v>1.2873311315569539E-2</v>
      </c>
      <c r="J20" s="5">
        <v>5.6893245262278182E-3</v>
      </c>
      <c r="K20" s="5">
        <v>3.5999999999999997E-2</v>
      </c>
      <c r="L20" s="5">
        <v>0.89200000000000002</v>
      </c>
      <c r="M20" s="5">
        <v>0.33040000000000003</v>
      </c>
      <c r="N20" s="5">
        <v>9.1600000000000001E-2</v>
      </c>
      <c r="O20" s="5">
        <v>2.0199999999999999E-2</v>
      </c>
      <c r="P20" s="5">
        <v>4.1999999999999997E-3</v>
      </c>
      <c r="Q20" s="5">
        <v>8.9999999999999998E-4</v>
      </c>
    </row>
    <row r="21" spans="1:17" x14ac:dyDescent="0.3">
      <c r="A21" s="7">
        <f t="shared" si="0"/>
        <v>20</v>
      </c>
      <c r="B21" s="8" t="s">
        <v>66</v>
      </c>
      <c r="C21" s="7" t="s">
        <v>45</v>
      </c>
      <c r="D21" s="7" t="s">
        <v>35</v>
      </c>
      <c r="E21" s="7">
        <v>37</v>
      </c>
      <c r="F21" s="7">
        <v>1800</v>
      </c>
      <c r="G21" s="9">
        <v>1808</v>
      </c>
      <c r="H21" s="10">
        <v>4.0000000000000002E-4</v>
      </c>
      <c r="I21" s="10">
        <v>1.2873311315569539E-2</v>
      </c>
      <c r="J21" s="10">
        <v>5.3893245262278174E-3</v>
      </c>
      <c r="K21" s="10">
        <v>2.1999999999999999E-2</v>
      </c>
      <c r="L21" s="10">
        <v>0.83510000000000006</v>
      </c>
      <c r="M21" s="10">
        <v>0.28079999999999999</v>
      </c>
      <c r="N21" s="10">
        <v>7.6600000000000001E-2</v>
      </c>
      <c r="O21" s="10">
        <v>1.5800000000000002E-2</v>
      </c>
      <c r="P21" s="10">
        <v>2.7000000000000001E-3</v>
      </c>
      <c r="Q21" s="10">
        <v>4.0000000000000002E-4</v>
      </c>
    </row>
    <row r="22" spans="1:17" x14ac:dyDescent="0.3">
      <c r="A22" s="2">
        <f t="shared" si="0"/>
        <v>21</v>
      </c>
      <c r="B22" s="11" t="s">
        <v>67</v>
      </c>
      <c r="C22" s="2" t="s">
        <v>56</v>
      </c>
      <c r="D22" s="2" t="s">
        <v>35</v>
      </c>
      <c r="E22" s="2">
        <v>22</v>
      </c>
      <c r="F22" s="2">
        <v>1790</v>
      </c>
      <c r="G22" s="4">
        <v>1794</v>
      </c>
      <c r="H22" s="5">
        <v>2.0000000000000001E-4</v>
      </c>
      <c r="I22" s="5">
        <v>1.082590231184587E-2</v>
      </c>
      <c r="J22" s="5">
        <v>4.4503609247383514E-3</v>
      </c>
      <c r="K22" s="5">
        <v>1.4E-2</v>
      </c>
      <c r="L22" s="5">
        <v>0.79669999999999996</v>
      </c>
      <c r="M22" s="5">
        <v>0.28599999999999998</v>
      </c>
      <c r="N22" s="5">
        <v>6.9199999999999998E-2</v>
      </c>
      <c r="O22" s="5">
        <v>1.09E-2</v>
      </c>
      <c r="P22" s="5">
        <v>2.2000000000000001E-3</v>
      </c>
      <c r="Q22" s="5">
        <v>2.0000000000000001E-4</v>
      </c>
    </row>
    <row r="23" spans="1:17" x14ac:dyDescent="0.3">
      <c r="A23" s="7">
        <f t="shared" si="0"/>
        <v>22</v>
      </c>
      <c r="B23" s="8" t="s">
        <v>68</v>
      </c>
      <c r="C23" s="7" t="s">
        <v>61</v>
      </c>
      <c r="D23" s="7" t="s">
        <v>57</v>
      </c>
      <c r="E23" s="7">
        <v>30</v>
      </c>
      <c r="F23" s="7">
        <v>1730</v>
      </c>
      <c r="G23" s="9">
        <v>1796</v>
      </c>
      <c r="H23" s="10">
        <v>2.9999999999999997E-4</v>
      </c>
      <c r="I23" s="10">
        <v>9.9623874764379512E-3</v>
      </c>
      <c r="J23" s="10">
        <v>4.1649549905751794E-3</v>
      </c>
      <c r="K23" s="10">
        <v>1.6E-2</v>
      </c>
      <c r="L23" s="10">
        <v>0.96609999999999996</v>
      </c>
      <c r="M23" s="10">
        <v>0.42980000000000002</v>
      </c>
      <c r="N23" s="10">
        <v>0.1036</v>
      </c>
      <c r="O23" s="10">
        <v>1.7000000000000001E-2</v>
      </c>
      <c r="P23" s="10">
        <v>2.5999999999999999E-3</v>
      </c>
      <c r="Q23" s="10">
        <v>2.9999999999999997E-4</v>
      </c>
    </row>
    <row r="24" spans="1:17" x14ac:dyDescent="0.3">
      <c r="A24" s="2">
        <f t="shared" si="0"/>
        <v>23</v>
      </c>
      <c r="B24" s="11" t="s">
        <v>69</v>
      </c>
      <c r="C24" s="2" t="s">
        <v>34</v>
      </c>
      <c r="D24" s="2" t="s">
        <v>54</v>
      </c>
      <c r="E24" s="2">
        <v>14</v>
      </c>
      <c r="F24" s="2">
        <v>1780</v>
      </c>
      <c r="G24" s="4">
        <v>1784</v>
      </c>
      <c r="H24" s="5">
        <v>2.0000000000000001E-4</v>
      </c>
      <c r="I24" s="5">
        <v>9.1394799594600954E-3</v>
      </c>
      <c r="J24" s="5">
        <v>3.7757919837840379E-3</v>
      </c>
      <c r="K24" s="5">
        <v>2.1999999999999999E-2</v>
      </c>
      <c r="L24" s="5">
        <v>0.79020000000000001</v>
      </c>
      <c r="M24" s="5">
        <v>0.18809999999999999</v>
      </c>
      <c r="N24" s="5">
        <v>4.4499999999999998E-2</v>
      </c>
      <c r="O24" s="5">
        <v>6.7000000000000002E-3</v>
      </c>
      <c r="P24" s="5">
        <v>1.2999999999999999E-3</v>
      </c>
      <c r="Q24" s="5">
        <v>2.0000000000000001E-4</v>
      </c>
    </row>
    <row r="25" spans="1:17" x14ac:dyDescent="0.3">
      <c r="A25" s="7">
        <f t="shared" si="0"/>
        <v>24</v>
      </c>
      <c r="B25" s="8" t="s">
        <v>70</v>
      </c>
      <c r="C25" s="7" t="s">
        <v>39</v>
      </c>
      <c r="D25" s="7" t="s">
        <v>35</v>
      </c>
      <c r="E25" s="7">
        <v>24</v>
      </c>
      <c r="F25" s="7">
        <v>1770</v>
      </c>
      <c r="G25" s="9">
        <v>1778</v>
      </c>
      <c r="H25" s="10">
        <v>2.9999999999999997E-4</v>
      </c>
      <c r="I25" s="10">
        <v>7.4336665094227187E-3</v>
      </c>
      <c r="J25" s="10">
        <v>3.1534666037690878E-3</v>
      </c>
      <c r="K25" s="10">
        <v>1.4E-2</v>
      </c>
      <c r="L25" s="10">
        <v>0.90760000000000007</v>
      </c>
      <c r="M25" s="10">
        <v>0.27039999999999997</v>
      </c>
      <c r="N25" s="10">
        <v>5.3099999999999987E-2</v>
      </c>
      <c r="O25" s="10">
        <v>8.6E-3</v>
      </c>
      <c r="P25" s="10">
        <v>1.1999999999999999E-3</v>
      </c>
      <c r="Q25" s="10">
        <v>2.9999999999999997E-4</v>
      </c>
    </row>
    <row r="26" spans="1:17" x14ac:dyDescent="0.3">
      <c r="A26" s="2">
        <f t="shared" si="0"/>
        <v>25</v>
      </c>
      <c r="B26" s="11" t="s">
        <v>71</v>
      </c>
      <c r="C26" s="2" t="s">
        <v>41</v>
      </c>
      <c r="D26" s="2" t="s">
        <v>32</v>
      </c>
      <c r="E26" s="2">
        <v>23</v>
      </c>
      <c r="F26" s="2">
        <v>1740</v>
      </c>
      <c r="G26" s="4">
        <v>1740</v>
      </c>
      <c r="H26" s="5">
        <v>0</v>
      </c>
      <c r="I26" s="5">
        <v>4.0666773405104092E-3</v>
      </c>
      <c r="J26" s="5">
        <v>1.626670936204163E-3</v>
      </c>
      <c r="K26" s="5">
        <v>1.2E-2</v>
      </c>
      <c r="L26" s="5">
        <v>0.92469999999999997</v>
      </c>
      <c r="M26" s="5">
        <v>0.1961</v>
      </c>
      <c r="N26" s="5">
        <v>2.9100000000000001E-2</v>
      </c>
      <c r="O26" s="5">
        <v>3.0000000000000001E-3</v>
      </c>
      <c r="P26" s="5">
        <v>2.0000000000000001E-4</v>
      </c>
      <c r="Q26" s="5">
        <v>0</v>
      </c>
    </row>
    <row r="27" spans="1:17" x14ac:dyDescent="0.3">
      <c r="A27" s="7">
        <f t="shared" si="0"/>
        <v>26</v>
      </c>
      <c r="B27" s="8" t="s">
        <v>72</v>
      </c>
      <c r="C27" s="7" t="s">
        <v>56</v>
      </c>
      <c r="D27" s="7" t="s">
        <v>32</v>
      </c>
      <c r="E27" s="7">
        <v>38</v>
      </c>
      <c r="F27" s="7">
        <v>1740</v>
      </c>
      <c r="G27" s="9">
        <v>1732</v>
      </c>
      <c r="H27" s="10">
        <v>0</v>
      </c>
      <c r="I27" s="10">
        <v>4.0015840932550008E-3</v>
      </c>
      <c r="J27" s="10">
        <v>1.600633637302E-3</v>
      </c>
      <c r="K27" s="10">
        <v>6.0000000000000001E-3</v>
      </c>
      <c r="L27" s="10">
        <v>0.55120000000000002</v>
      </c>
      <c r="M27" s="10">
        <v>0.1037</v>
      </c>
      <c r="N27" s="10">
        <v>1.6500000000000001E-2</v>
      </c>
      <c r="O27" s="10">
        <v>1.8E-3</v>
      </c>
      <c r="P27" s="10">
        <v>1E-4</v>
      </c>
      <c r="Q27" s="10">
        <v>0</v>
      </c>
    </row>
    <row r="28" spans="1:17" x14ac:dyDescent="0.3">
      <c r="A28" s="2">
        <f t="shared" si="0"/>
        <v>27</v>
      </c>
      <c r="B28" s="11" t="s">
        <v>73</v>
      </c>
      <c r="C28" s="2" t="s">
        <v>59</v>
      </c>
      <c r="D28" s="2" t="s">
        <v>35</v>
      </c>
      <c r="E28" s="2">
        <v>41</v>
      </c>
      <c r="F28" s="2">
        <v>1740</v>
      </c>
      <c r="G28" s="4">
        <v>1740</v>
      </c>
      <c r="H28" s="5">
        <v>0</v>
      </c>
      <c r="I28" s="5">
        <v>4.0015840932550008E-3</v>
      </c>
      <c r="J28" s="5">
        <v>1.600633637302E-3</v>
      </c>
      <c r="K28" s="5">
        <v>8.0000000000000002E-3</v>
      </c>
      <c r="L28" s="5">
        <v>0.79260000000000008</v>
      </c>
      <c r="M28" s="5">
        <v>0.16800000000000001</v>
      </c>
      <c r="N28" s="5">
        <v>2.6100000000000002E-2</v>
      </c>
      <c r="O28" s="5">
        <v>2.8999999999999998E-3</v>
      </c>
      <c r="P28" s="5">
        <v>5.0000000000000001E-4</v>
      </c>
      <c r="Q28" s="5">
        <v>0</v>
      </c>
    </row>
    <row r="29" spans="1:17" x14ac:dyDescent="0.3">
      <c r="A29" s="7">
        <f t="shared" si="0"/>
        <v>28</v>
      </c>
      <c r="B29" s="8" t="s">
        <v>74</v>
      </c>
      <c r="C29" s="7" t="s">
        <v>49</v>
      </c>
      <c r="D29" s="7" t="s">
        <v>63</v>
      </c>
      <c r="E29" s="7">
        <v>21</v>
      </c>
      <c r="F29" s="7">
        <v>1730</v>
      </c>
      <c r="G29" s="9">
        <v>1722</v>
      </c>
      <c r="H29" s="10">
        <v>0</v>
      </c>
      <c r="I29" s="10">
        <v>3.654040560374583E-3</v>
      </c>
      <c r="J29" s="10">
        <v>1.461616224149833E-3</v>
      </c>
      <c r="K29" s="10">
        <v>6.0000000000000001E-3</v>
      </c>
      <c r="L29" s="10">
        <v>0.84810000000000008</v>
      </c>
      <c r="M29" s="10">
        <v>0.16220000000000001</v>
      </c>
      <c r="N29" s="10">
        <v>2.3199999999999998E-2</v>
      </c>
      <c r="O29" s="10">
        <v>2.2000000000000001E-3</v>
      </c>
      <c r="P29" s="10">
        <v>0</v>
      </c>
      <c r="Q29" s="10">
        <v>0</v>
      </c>
    </row>
    <row r="30" spans="1:17" x14ac:dyDescent="0.3">
      <c r="A30" s="2">
        <f t="shared" si="0"/>
        <v>29</v>
      </c>
      <c r="B30" s="11" t="s">
        <v>75</v>
      </c>
      <c r="C30" s="2" t="s">
        <v>31</v>
      </c>
      <c r="D30" s="2" t="s">
        <v>35</v>
      </c>
      <c r="E30" s="2">
        <v>43</v>
      </c>
      <c r="F30" s="2">
        <v>1730</v>
      </c>
      <c r="G30" s="4">
        <v>1730</v>
      </c>
      <c r="H30" s="5">
        <v>0</v>
      </c>
      <c r="I30" s="5">
        <v>3.2213700296365279E-3</v>
      </c>
      <c r="J30" s="5">
        <v>1.2885480118546111E-3</v>
      </c>
      <c r="K30" s="5">
        <v>4.0000000000000001E-3</v>
      </c>
      <c r="L30" s="5">
        <v>0.71349999999999991</v>
      </c>
      <c r="M30" s="5">
        <v>9.6999999999999989E-2</v>
      </c>
      <c r="N30" s="5">
        <v>1.52E-2</v>
      </c>
      <c r="O30" s="5">
        <v>1.8E-3</v>
      </c>
      <c r="P30" s="5">
        <v>1E-4</v>
      </c>
      <c r="Q30" s="5">
        <v>0</v>
      </c>
    </row>
    <row r="31" spans="1:17" x14ac:dyDescent="0.3">
      <c r="A31" s="7">
        <f t="shared" si="0"/>
        <v>30</v>
      </c>
      <c r="B31" s="8" t="s">
        <v>76</v>
      </c>
      <c r="C31" s="7" t="s">
        <v>56</v>
      </c>
      <c r="D31" s="7" t="s">
        <v>63</v>
      </c>
      <c r="E31" s="7">
        <v>27</v>
      </c>
      <c r="F31" s="7">
        <v>1720</v>
      </c>
      <c r="G31" s="9">
        <v>1716</v>
      </c>
      <c r="H31" s="10">
        <v>0</v>
      </c>
      <c r="I31" s="10">
        <v>2.761820642653201E-3</v>
      </c>
      <c r="J31" s="10">
        <v>1.1047282570612799E-3</v>
      </c>
      <c r="K31" s="10">
        <v>8.0000000000000002E-3</v>
      </c>
      <c r="L31" s="10">
        <v>0.46810000000000002</v>
      </c>
      <c r="M31" s="10">
        <v>7.3499999999999996E-2</v>
      </c>
      <c r="N31" s="10">
        <v>1.0999999999999999E-2</v>
      </c>
      <c r="O31" s="10">
        <v>5.0000000000000001E-4</v>
      </c>
      <c r="P31" s="10">
        <v>0</v>
      </c>
      <c r="Q31" s="10">
        <v>0</v>
      </c>
    </row>
    <row r="32" spans="1:17" x14ac:dyDescent="0.3">
      <c r="A32" s="2">
        <f t="shared" si="0"/>
        <v>31</v>
      </c>
      <c r="B32" s="11" t="s">
        <v>77</v>
      </c>
      <c r="C32" s="2" t="s">
        <v>41</v>
      </c>
      <c r="D32" s="2" t="s">
        <v>54</v>
      </c>
      <c r="E32" s="2">
        <v>39</v>
      </c>
      <c r="F32" s="2">
        <v>1710</v>
      </c>
      <c r="G32" s="4">
        <v>1706</v>
      </c>
      <c r="H32" s="5">
        <v>1E-4</v>
      </c>
      <c r="I32" s="5">
        <v>2.0657275614645869E-3</v>
      </c>
      <c r="J32" s="5">
        <v>8.8629102458583509E-4</v>
      </c>
      <c r="K32" s="5">
        <v>6.0000000000000001E-3</v>
      </c>
      <c r="L32" s="5">
        <v>0.85199999999999998</v>
      </c>
      <c r="M32" s="5">
        <v>0.1212</v>
      </c>
      <c r="N32" s="5">
        <v>1.52E-2</v>
      </c>
      <c r="O32" s="5">
        <v>1.6000000000000001E-3</v>
      </c>
      <c r="P32" s="5">
        <v>1E-4</v>
      </c>
      <c r="Q32" s="5">
        <v>1E-4</v>
      </c>
    </row>
    <row r="33" spans="1:17" x14ac:dyDescent="0.3">
      <c r="A33" s="7">
        <f t="shared" si="0"/>
        <v>32</v>
      </c>
      <c r="B33" s="8" t="s">
        <v>78</v>
      </c>
      <c r="C33" s="7" t="s">
        <v>39</v>
      </c>
      <c r="D33" s="7" t="s">
        <v>54</v>
      </c>
      <c r="E33" s="7">
        <v>36</v>
      </c>
      <c r="F33" s="7">
        <v>1700</v>
      </c>
      <c r="G33" s="9">
        <v>1696</v>
      </c>
      <c r="H33" s="10">
        <v>0</v>
      </c>
      <c r="I33" s="10">
        <v>1.647597900650874E-3</v>
      </c>
      <c r="J33" s="10">
        <v>6.5903916026034898E-4</v>
      </c>
      <c r="K33" s="10">
        <v>8.0000000000000002E-3</v>
      </c>
      <c r="L33" s="10">
        <v>0.6341</v>
      </c>
      <c r="M33" s="10">
        <v>7.1599999999999997E-2</v>
      </c>
      <c r="N33" s="10">
        <v>8.199999999999999E-3</v>
      </c>
      <c r="O33" s="10">
        <v>7.000000000000001E-4</v>
      </c>
      <c r="P33" s="10">
        <v>0</v>
      </c>
      <c r="Q33" s="10">
        <v>0</v>
      </c>
    </row>
    <row r="34" spans="1:17" x14ac:dyDescent="0.3">
      <c r="A34" s="2">
        <f t="shared" si="0"/>
        <v>33</v>
      </c>
      <c r="B34" s="11" t="s">
        <v>79</v>
      </c>
      <c r="C34" s="2" t="s">
        <v>49</v>
      </c>
      <c r="D34" s="2" t="s">
        <v>54</v>
      </c>
      <c r="E34" s="2">
        <v>33</v>
      </c>
      <c r="F34" s="2">
        <v>1690</v>
      </c>
      <c r="G34" s="4">
        <v>1690</v>
      </c>
      <c r="H34" s="5">
        <v>0</v>
      </c>
      <c r="I34" s="5">
        <v>1.311486288800967E-3</v>
      </c>
      <c r="J34" s="5">
        <v>5.2459451552038698E-4</v>
      </c>
      <c r="K34" s="5">
        <v>8.0000000000000002E-3</v>
      </c>
      <c r="L34" s="5">
        <v>0.74180000000000001</v>
      </c>
      <c r="M34" s="5">
        <v>9.2399999999999996E-2</v>
      </c>
      <c r="N34" s="5">
        <v>9.7000000000000003E-3</v>
      </c>
      <c r="O34" s="5">
        <v>1E-3</v>
      </c>
      <c r="P34" s="5">
        <v>0</v>
      </c>
      <c r="Q34" s="5">
        <v>0</v>
      </c>
    </row>
    <row r="35" spans="1:17" x14ac:dyDescent="0.3">
      <c r="A35" s="7">
        <f t="shared" si="0"/>
        <v>34</v>
      </c>
      <c r="B35" s="8" t="s">
        <v>80</v>
      </c>
      <c r="C35" s="7" t="s">
        <v>43</v>
      </c>
      <c r="D35" s="7" t="s">
        <v>54</v>
      </c>
      <c r="E35" s="7">
        <v>73</v>
      </c>
      <c r="F35" s="7">
        <v>1650</v>
      </c>
      <c r="G35" s="9">
        <v>1642</v>
      </c>
      <c r="H35" s="10">
        <v>0</v>
      </c>
      <c r="I35" s="10">
        <v>5.28865663831351E-4</v>
      </c>
      <c r="J35" s="10">
        <v>2.1154626553254E-4</v>
      </c>
      <c r="K35" s="10">
        <v>4.0000000000000001E-3</v>
      </c>
      <c r="L35" s="10">
        <v>0.33439999999999998</v>
      </c>
      <c r="M35" s="10">
        <v>1.5100000000000001E-2</v>
      </c>
      <c r="N35" s="10">
        <v>1.1999999999999999E-3</v>
      </c>
      <c r="O35" s="10">
        <v>1E-4</v>
      </c>
      <c r="P35" s="10">
        <v>0</v>
      </c>
      <c r="Q35" s="10">
        <v>0</v>
      </c>
    </row>
    <row r="36" spans="1:17" x14ac:dyDescent="0.3">
      <c r="A36" s="2">
        <f t="shared" si="0"/>
        <v>35</v>
      </c>
      <c r="B36" s="11" t="s">
        <v>81</v>
      </c>
      <c r="C36" s="2" t="s">
        <v>61</v>
      </c>
      <c r="D36" s="2" t="s">
        <v>35</v>
      </c>
      <c r="E36" s="2">
        <v>71</v>
      </c>
      <c r="F36" s="2">
        <v>1650</v>
      </c>
      <c r="G36" s="4">
        <v>1646</v>
      </c>
      <c r="H36" s="5">
        <v>0</v>
      </c>
      <c r="I36" s="5">
        <v>5.1967227431299603E-4</v>
      </c>
      <c r="J36" s="5">
        <v>2.07868909725198E-4</v>
      </c>
      <c r="K36" s="5">
        <v>4.0000000000000001E-3</v>
      </c>
      <c r="L36" s="5">
        <v>0.55700000000000005</v>
      </c>
      <c r="M36" s="5">
        <v>3.7400000000000003E-2</v>
      </c>
      <c r="N36" s="5">
        <v>2.3999999999999998E-3</v>
      </c>
      <c r="O36" s="5">
        <v>2.0000000000000001E-4</v>
      </c>
      <c r="P36" s="5">
        <v>0</v>
      </c>
      <c r="Q36" s="5">
        <v>0</v>
      </c>
    </row>
    <row r="37" spans="1:17" x14ac:dyDescent="0.3">
      <c r="A37" s="7">
        <f t="shared" si="0"/>
        <v>36</v>
      </c>
      <c r="B37" s="8" t="s">
        <v>82</v>
      </c>
      <c r="C37" s="7" t="s">
        <v>47</v>
      </c>
      <c r="D37" s="7" t="s">
        <v>54</v>
      </c>
      <c r="E37" s="7">
        <v>55</v>
      </c>
      <c r="F37" s="7">
        <v>1650</v>
      </c>
      <c r="G37" s="9">
        <v>1642</v>
      </c>
      <c r="H37" s="10">
        <v>0</v>
      </c>
      <c r="I37" s="10">
        <v>5.1967227431299603E-4</v>
      </c>
      <c r="J37" s="10">
        <v>2.07868909725198E-4</v>
      </c>
      <c r="K37" s="10">
        <v>4.0000000000000001E-3</v>
      </c>
      <c r="L37" s="10">
        <v>0.3256</v>
      </c>
      <c r="M37" s="10">
        <v>1.3100000000000001E-2</v>
      </c>
      <c r="N37" s="10">
        <v>5.9999999999999995E-4</v>
      </c>
      <c r="O37" s="10">
        <v>0</v>
      </c>
      <c r="P37" s="10">
        <v>0</v>
      </c>
      <c r="Q37" s="10">
        <v>0</v>
      </c>
    </row>
    <row r="38" spans="1:17" x14ac:dyDescent="0.3">
      <c r="A38" s="2">
        <f t="shared" si="0"/>
        <v>37</v>
      </c>
      <c r="B38" s="11" t="s">
        <v>83</v>
      </c>
      <c r="C38" s="2" t="s">
        <v>37</v>
      </c>
      <c r="D38" s="2" t="s">
        <v>63</v>
      </c>
      <c r="E38" s="2">
        <v>58</v>
      </c>
      <c r="F38" s="2">
        <v>1640</v>
      </c>
      <c r="G38" s="4">
        <v>1632</v>
      </c>
      <c r="H38" s="5">
        <v>0</v>
      </c>
      <c r="I38" s="5">
        <v>4.3372638412686497E-4</v>
      </c>
      <c r="J38" s="5">
        <v>1.7349055365074601E-4</v>
      </c>
      <c r="K38" s="5">
        <v>4.0000000000000001E-3</v>
      </c>
      <c r="L38" s="5">
        <v>0.30709999999999998</v>
      </c>
      <c r="M38" s="5">
        <v>1.2E-2</v>
      </c>
      <c r="N38" s="5">
        <v>7.000000000000001E-4</v>
      </c>
      <c r="O38" s="5">
        <v>0</v>
      </c>
      <c r="P38" s="5">
        <v>0</v>
      </c>
      <c r="Q38" s="5">
        <v>0</v>
      </c>
    </row>
    <row r="39" spans="1:17" x14ac:dyDescent="0.3">
      <c r="A39" s="7">
        <f t="shared" si="0"/>
        <v>38</v>
      </c>
      <c r="B39" s="8" t="s">
        <v>84</v>
      </c>
      <c r="C39" s="7" t="s">
        <v>45</v>
      </c>
      <c r="D39" s="7" t="s">
        <v>54</v>
      </c>
      <c r="E39" s="7">
        <v>47</v>
      </c>
      <c r="F39" s="7">
        <v>1640</v>
      </c>
      <c r="G39" s="9">
        <v>1628</v>
      </c>
      <c r="H39" s="10">
        <v>0</v>
      </c>
      <c r="I39" s="10">
        <v>4.3372638412686497E-4</v>
      </c>
      <c r="J39" s="10">
        <v>1.7349055365074601E-4</v>
      </c>
      <c r="K39" s="10">
        <v>2E-3</v>
      </c>
      <c r="L39" s="10">
        <v>0.1008</v>
      </c>
      <c r="M39" s="10">
        <v>3.8E-3</v>
      </c>
      <c r="N39" s="10">
        <v>1E-4</v>
      </c>
      <c r="O39" s="10">
        <v>0</v>
      </c>
      <c r="P39" s="10">
        <v>0</v>
      </c>
      <c r="Q39" s="10">
        <v>0</v>
      </c>
    </row>
    <row r="40" spans="1:17" x14ac:dyDescent="0.3">
      <c r="A40" s="2">
        <f t="shared" si="0"/>
        <v>39</v>
      </c>
      <c r="B40" s="11" t="s">
        <v>85</v>
      </c>
      <c r="C40" s="2" t="s">
        <v>34</v>
      </c>
      <c r="D40" s="2" t="s">
        <v>63</v>
      </c>
      <c r="E40" s="2">
        <v>56</v>
      </c>
      <c r="F40" s="2">
        <v>1620</v>
      </c>
      <c r="G40" s="4">
        <v>1604</v>
      </c>
      <c r="H40" s="5">
        <v>0</v>
      </c>
      <c r="I40" s="5">
        <v>2.5755244715144898E-4</v>
      </c>
      <c r="J40" s="5">
        <v>1.03020978860579E-4</v>
      </c>
      <c r="K40" s="5">
        <v>2E-3</v>
      </c>
      <c r="L40" s="5">
        <v>6.54E-2</v>
      </c>
      <c r="M40" s="5">
        <v>2.5999999999999999E-3</v>
      </c>
      <c r="N40" s="5">
        <v>1E-4</v>
      </c>
      <c r="O40" s="5">
        <v>0</v>
      </c>
      <c r="P40" s="5">
        <v>0</v>
      </c>
      <c r="Q40" s="5">
        <v>0</v>
      </c>
    </row>
    <row r="41" spans="1:17" x14ac:dyDescent="0.3">
      <c r="A41" s="7">
        <f t="shared" si="0"/>
        <v>40</v>
      </c>
      <c r="B41" s="8" t="s">
        <v>86</v>
      </c>
      <c r="C41" s="7" t="s">
        <v>47</v>
      </c>
      <c r="D41" s="7" t="s">
        <v>63</v>
      </c>
      <c r="E41" s="7">
        <v>57</v>
      </c>
      <c r="F41" s="7">
        <v>1600</v>
      </c>
      <c r="G41" s="9">
        <v>1596</v>
      </c>
      <c r="H41" s="10">
        <v>0</v>
      </c>
      <c r="I41" s="10">
        <v>1.61008583621376E-4</v>
      </c>
      <c r="J41" s="10">
        <v>6.4403433448550001E-5</v>
      </c>
      <c r="K41" s="10">
        <v>2E-3</v>
      </c>
      <c r="L41" s="10">
        <v>0.15229999999999999</v>
      </c>
      <c r="M41" s="10">
        <v>2.8E-3</v>
      </c>
      <c r="N41" s="10">
        <v>2.9999999999999997E-4</v>
      </c>
      <c r="O41" s="10">
        <v>0</v>
      </c>
      <c r="P41" s="10">
        <v>0</v>
      </c>
      <c r="Q41" s="10">
        <v>0</v>
      </c>
    </row>
    <row r="42" spans="1:17" x14ac:dyDescent="0.3">
      <c r="A42" s="2">
        <f t="shared" si="0"/>
        <v>41</v>
      </c>
      <c r="B42" s="11" t="s">
        <v>87</v>
      </c>
      <c r="C42" s="2" t="s">
        <v>59</v>
      </c>
      <c r="D42" s="2" t="s">
        <v>54</v>
      </c>
      <c r="E42" s="2">
        <v>60</v>
      </c>
      <c r="F42" s="2">
        <v>1600</v>
      </c>
      <c r="G42" s="4">
        <v>1592</v>
      </c>
      <c r="H42" s="5">
        <v>0</v>
      </c>
      <c r="I42" s="5">
        <v>1.61008583621376E-4</v>
      </c>
      <c r="J42" s="5">
        <v>6.4403433448550001E-5</v>
      </c>
      <c r="K42" s="5">
        <v>2E-3</v>
      </c>
      <c r="L42" s="5">
        <v>0.1328</v>
      </c>
      <c r="M42" s="5">
        <v>3.8999999999999998E-3</v>
      </c>
      <c r="N42" s="5">
        <v>2.0000000000000001E-4</v>
      </c>
      <c r="O42" s="5">
        <v>0</v>
      </c>
      <c r="P42" s="5">
        <v>0</v>
      </c>
      <c r="Q42" s="5">
        <v>0</v>
      </c>
    </row>
    <row r="43" spans="1:17" x14ac:dyDescent="0.3">
      <c r="A43" s="7">
        <f t="shared" si="0"/>
        <v>42</v>
      </c>
      <c r="B43" s="8" t="s">
        <v>88</v>
      </c>
      <c r="C43" s="7" t="s">
        <v>43</v>
      </c>
      <c r="D43" s="7" t="s">
        <v>57</v>
      </c>
      <c r="E43" s="7">
        <v>51</v>
      </c>
      <c r="F43" s="7">
        <v>1600</v>
      </c>
      <c r="G43" s="9">
        <v>1588</v>
      </c>
      <c r="H43" s="10">
        <v>0</v>
      </c>
      <c r="I43" s="10">
        <v>1.61008583621376E-4</v>
      </c>
      <c r="J43" s="10">
        <v>6.4403433448550001E-5</v>
      </c>
      <c r="K43" s="10">
        <v>1E-3</v>
      </c>
      <c r="L43" s="10">
        <v>0.13150000000000001</v>
      </c>
      <c r="M43" s="10">
        <v>1.2999999999999999E-3</v>
      </c>
      <c r="N43" s="10">
        <v>0</v>
      </c>
      <c r="O43" s="10">
        <v>0</v>
      </c>
      <c r="P43" s="10">
        <v>0</v>
      </c>
      <c r="Q43" s="10">
        <v>0</v>
      </c>
    </row>
    <row r="44" spans="1:17" x14ac:dyDescent="0.3">
      <c r="A44" s="2">
        <f t="shared" si="0"/>
        <v>43</v>
      </c>
      <c r="B44" s="11" t="s">
        <v>89</v>
      </c>
      <c r="C44" s="2" t="s">
        <v>61</v>
      </c>
      <c r="D44" s="2" t="s">
        <v>63</v>
      </c>
      <c r="E44" s="2">
        <v>53</v>
      </c>
      <c r="F44" s="2">
        <v>1580</v>
      </c>
      <c r="G44" s="4">
        <v>1568</v>
      </c>
      <c r="H44" s="5">
        <v>0</v>
      </c>
      <c r="I44" s="5">
        <v>1.00572014430499E-4</v>
      </c>
      <c r="J44" s="5">
        <v>4.0228805772199E-5</v>
      </c>
      <c r="K44" s="5">
        <v>2E-3</v>
      </c>
      <c r="L44" s="5">
        <v>0.1915</v>
      </c>
      <c r="M44" s="5">
        <v>4.0999999999999986E-3</v>
      </c>
      <c r="N44" s="5">
        <v>2.9999999999999997E-4</v>
      </c>
      <c r="O44" s="5">
        <v>0</v>
      </c>
      <c r="P44" s="5">
        <v>0</v>
      </c>
      <c r="Q44" s="5">
        <v>0</v>
      </c>
    </row>
    <row r="45" spans="1:17" x14ac:dyDescent="0.3">
      <c r="A45" s="7">
        <f t="shared" si="0"/>
        <v>44</v>
      </c>
      <c r="B45" s="8" t="s">
        <v>90</v>
      </c>
      <c r="C45" s="7" t="s">
        <v>39</v>
      </c>
      <c r="D45" s="7" t="s">
        <v>63</v>
      </c>
      <c r="E45" s="7">
        <v>64</v>
      </c>
      <c r="F45" s="7">
        <v>1580</v>
      </c>
      <c r="G45" s="9">
        <v>1572</v>
      </c>
      <c r="H45" s="10">
        <v>0</v>
      </c>
      <c r="I45" s="10">
        <v>1.00572014430499E-4</v>
      </c>
      <c r="J45" s="10">
        <v>4.0228805772199E-5</v>
      </c>
      <c r="K45" s="10">
        <v>2E-3</v>
      </c>
      <c r="L45" s="10">
        <v>0.1046</v>
      </c>
      <c r="M45" s="10">
        <v>2.3E-3</v>
      </c>
      <c r="N45" s="10">
        <v>2.0000000000000001E-4</v>
      </c>
      <c r="O45" s="10">
        <v>0</v>
      </c>
      <c r="P45" s="10">
        <v>0</v>
      </c>
      <c r="Q45" s="10">
        <v>0</v>
      </c>
    </row>
    <row r="46" spans="1:17" x14ac:dyDescent="0.3">
      <c r="A46" s="2">
        <f t="shared" si="0"/>
        <v>45</v>
      </c>
      <c r="B46" s="11" t="s">
        <v>91</v>
      </c>
      <c r="C46" s="2" t="s">
        <v>49</v>
      </c>
      <c r="D46" s="2" t="s">
        <v>92</v>
      </c>
      <c r="E46" s="2">
        <v>88</v>
      </c>
      <c r="F46" s="2">
        <v>1570</v>
      </c>
      <c r="G46" s="4">
        <v>1550</v>
      </c>
      <c r="H46" s="5">
        <v>0</v>
      </c>
      <c r="I46" s="5">
        <v>7.9469733642287011E-5</v>
      </c>
      <c r="J46" s="5">
        <v>3.1787893456914002E-5</v>
      </c>
      <c r="K46" s="5">
        <v>1E-3</v>
      </c>
      <c r="L46" s="5">
        <v>0.12809999999999999</v>
      </c>
      <c r="M46" s="5">
        <v>1.9E-3</v>
      </c>
      <c r="N46" s="5">
        <v>1E-4</v>
      </c>
      <c r="O46" s="5">
        <v>0</v>
      </c>
      <c r="P46" s="5">
        <v>0</v>
      </c>
      <c r="Q46" s="5">
        <v>0</v>
      </c>
    </row>
    <row r="47" spans="1:17" x14ac:dyDescent="0.3">
      <c r="A47" s="7">
        <f t="shared" si="0"/>
        <v>46</v>
      </c>
      <c r="B47" s="8" t="s">
        <v>93</v>
      </c>
      <c r="C47" s="7" t="s">
        <v>37</v>
      </c>
      <c r="D47" s="7" t="s">
        <v>54</v>
      </c>
      <c r="E47" s="7">
        <v>70</v>
      </c>
      <c r="F47" s="7">
        <v>1540</v>
      </c>
      <c r="G47" s="9">
        <v>1536</v>
      </c>
      <c r="H47" s="10">
        <v>0</v>
      </c>
      <c r="I47" s="10">
        <v>3.9187726121648997E-5</v>
      </c>
      <c r="J47" s="10">
        <v>1.5675090448659001E-5</v>
      </c>
      <c r="K47" s="10">
        <v>2E-3</v>
      </c>
      <c r="L47" s="10">
        <v>4.4200000000000003E-2</v>
      </c>
      <c r="M47" s="10">
        <v>4.0000000000000002E-4</v>
      </c>
      <c r="N47" s="10">
        <v>1E-4</v>
      </c>
      <c r="O47" s="10">
        <v>0</v>
      </c>
      <c r="P47" s="10">
        <v>0</v>
      </c>
      <c r="Q47" s="10">
        <v>0</v>
      </c>
    </row>
    <row r="48" spans="1:17" x14ac:dyDescent="0.3">
      <c r="A48" s="2">
        <f t="shared" si="0"/>
        <v>47</v>
      </c>
      <c r="B48" s="11" t="s">
        <v>94</v>
      </c>
      <c r="C48" s="2" t="s">
        <v>31</v>
      </c>
      <c r="D48" s="2" t="s">
        <v>57</v>
      </c>
      <c r="E48" s="2">
        <v>79</v>
      </c>
      <c r="F48" s="2">
        <v>1540</v>
      </c>
      <c r="G48" s="4">
        <v>1524</v>
      </c>
      <c r="H48" s="5">
        <v>0</v>
      </c>
      <c r="I48" s="5">
        <v>3.9187726121648997E-5</v>
      </c>
      <c r="J48" s="5">
        <v>1.5675090448659001E-5</v>
      </c>
      <c r="K48" s="5">
        <v>1E-3</v>
      </c>
      <c r="L48" s="5">
        <v>1.8700000000000001E-2</v>
      </c>
      <c r="M48" s="5">
        <v>1E-4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3">
      <c r="A49" s="7">
        <f t="shared" si="0"/>
        <v>48</v>
      </c>
      <c r="B49" s="8" t="s">
        <v>95</v>
      </c>
      <c r="C49" s="7" t="s">
        <v>41</v>
      </c>
      <c r="D49" s="7" t="s">
        <v>57</v>
      </c>
      <c r="E49" s="7">
        <v>81</v>
      </c>
      <c r="F49" s="7">
        <v>1480</v>
      </c>
      <c r="G49" s="9">
        <v>1468</v>
      </c>
      <c r="H49" s="10">
        <v>0</v>
      </c>
      <c r="I49" s="10">
        <v>9.5180702691109995E-6</v>
      </c>
      <c r="J49" s="10">
        <v>3.8072281076440002E-6</v>
      </c>
      <c r="K49" s="10">
        <v>1E-3</v>
      </c>
      <c r="L49" s="10">
        <v>2.3599999999999999E-2</v>
      </c>
      <c r="M49" s="10">
        <v>2.9999999999999997E-4</v>
      </c>
      <c r="N49" s="10">
        <v>0</v>
      </c>
      <c r="O49" s="10">
        <v>0</v>
      </c>
      <c r="P49" s="10">
        <v>0</v>
      </c>
      <c r="Q49" s="10">
        <v>0</v>
      </c>
    </row>
    <row r="51" spans="1:17" x14ac:dyDescent="0.3">
      <c r="B51" s="12" t="s">
        <v>96</v>
      </c>
    </row>
  </sheetData>
  <conditionalFormatting sqref="J2:J49">
    <cfRule type="dataBar" priority="1">
      <dataBar>
        <cfvo type="num" val="0"/>
        <cfvo type="num" val="0.18"/>
        <color rgb="FFBF8F00"/>
      </dataBar>
    </cfRule>
  </conditionalFormatting>
  <conditionalFormatting sqref="L2:Q49">
    <cfRule type="colorScale" priority="2">
      <colorScale>
        <cfvo type="num" val="0"/>
        <cfvo type="num" val="0.5"/>
        <cfvo type="num" val="1"/>
        <color rgb="FFFFFFFF"/>
        <color rgb="FF9BC2E6"/>
        <color rgb="FF1F386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8.88671875" defaultRowHeight="14.4" x14ac:dyDescent="0.3"/>
  <cols>
    <col min="1" max="1" width="26" customWidth="1"/>
    <col min="2" max="5" width="17" customWidth="1"/>
    <col min="6" max="6" width="18" customWidth="1"/>
  </cols>
  <sheetData>
    <row r="1" spans="1:6" ht="17.399999999999999" x14ac:dyDescent="0.3">
      <c r="A1" s="13" t="s">
        <v>97</v>
      </c>
    </row>
    <row r="3" spans="1:6" x14ac:dyDescent="0.3">
      <c r="A3" s="14" t="s">
        <v>98</v>
      </c>
    </row>
    <row r="4" spans="1:6" x14ac:dyDescent="0.3">
      <c r="A4" s="15" t="s">
        <v>99</v>
      </c>
      <c r="B4" s="15" t="s">
        <v>100</v>
      </c>
      <c r="C4" s="15" t="s">
        <v>101</v>
      </c>
      <c r="D4" s="15" t="s">
        <v>102</v>
      </c>
    </row>
    <row r="5" spans="1:6" x14ac:dyDescent="0.3">
      <c r="A5" s="16" t="s">
        <v>103</v>
      </c>
      <c r="B5" s="16" t="s">
        <v>104</v>
      </c>
      <c r="C5" s="16" t="s">
        <v>105</v>
      </c>
      <c r="D5" s="16" t="s">
        <v>106</v>
      </c>
    </row>
    <row r="6" spans="1:6" x14ac:dyDescent="0.3">
      <c r="A6" s="16" t="s">
        <v>107</v>
      </c>
      <c r="B6" s="16" t="s">
        <v>108</v>
      </c>
      <c r="C6" s="16" t="s">
        <v>109</v>
      </c>
      <c r="D6" s="16" t="s">
        <v>110</v>
      </c>
    </row>
    <row r="7" spans="1:6" x14ac:dyDescent="0.3">
      <c r="A7" s="16" t="s">
        <v>111</v>
      </c>
      <c r="B7" s="16" t="s">
        <v>112</v>
      </c>
      <c r="C7" s="16" t="s">
        <v>113</v>
      </c>
      <c r="D7" s="16" t="s">
        <v>114</v>
      </c>
    </row>
    <row r="8" spans="1:6" x14ac:dyDescent="0.3">
      <c r="A8" s="16" t="s">
        <v>115</v>
      </c>
      <c r="B8" s="16" t="s">
        <v>116</v>
      </c>
      <c r="C8" s="16" t="s">
        <v>117</v>
      </c>
      <c r="D8" s="16" t="s">
        <v>118</v>
      </c>
    </row>
    <row r="9" spans="1:6" x14ac:dyDescent="0.3">
      <c r="A9" s="12" t="s">
        <v>119</v>
      </c>
    </row>
    <row r="11" spans="1:6" x14ac:dyDescent="0.3">
      <c r="A11" s="14" t="s">
        <v>120</v>
      </c>
    </row>
    <row r="12" spans="1:6" ht="26.4" x14ac:dyDescent="0.3">
      <c r="A12" s="1" t="s">
        <v>121</v>
      </c>
      <c r="B12" s="1" t="s">
        <v>122</v>
      </c>
      <c r="C12" s="1" t="s">
        <v>123</v>
      </c>
      <c r="D12" s="1" t="s">
        <v>124</v>
      </c>
      <c r="E12" s="1" t="s">
        <v>125</v>
      </c>
      <c r="F12" s="1" t="s">
        <v>126</v>
      </c>
    </row>
    <row r="13" spans="1:6" x14ac:dyDescent="0.3">
      <c r="A13" s="7" t="s">
        <v>127</v>
      </c>
      <c r="B13" s="7" t="s">
        <v>52</v>
      </c>
      <c r="C13" s="7" t="s">
        <v>52</v>
      </c>
      <c r="D13" s="7">
        <v>1</v>
      </c>
      <c r="E13" s="7" t="s">
        <v>52</v>
      </c>
      <c r="F13" s="7">
        <v>1</v>
      </c>
    </row>
    <row r="14" spans="1:6" x14ac:dyDescent="0.3">
      <c r="A14" s="7" t="s">
        <v>128</v>
      </c>
      <c r="B14" s="7" t="s">
        <v>129</v>
      </c>
      <c r="C14" s="7" t="s">
        <v>129</v>
      </c>
      <c r="D14" s="7">
        <v>1</v>
      </c>
      <c r="E14" s="7" t="s">
        <v>129</v>
      </c>
      <c r="F14" s="7">
        <v>1</v>
      </c>
    </row>
    <row r="15" spans="1:6" x14ac:dyDescent="0.3">
      <c r="A15" s="7" t="s">
        <v>130</v>
      </c>
      <c r="B15" s="7" t="s">
        <v>129</v>
      </c>
      <c r="C15" s="7" t="s">
        <v>129</v>
      </c>
      <c r="D15" s="7">
        <v>1</v>
      </c>
      <c r="E15" s="7" t="s">
        <v>129</v>
      </c>
      <c r="F15" s="7">
        <v>1</v>
      </c>
    </row>
    <row r="16" spans="1:6" x14ac:dyDescent="0.3">
      <c r="A16" s="7" t="s">
        <v>131</v>
      </c>
      <c r="B16" s="7" t="s">
        <v>52</v>
      </c>
      <c r="C16" s="7" t="s">
        <v>30</v>
      </c>
      <c r="D16" s="7">
        <v>2</v>
      </c>
      <c r="E16" s="7" t="s">
        <v>52</v>
      </c>
      <c r="F16" s="7">
        <v>1</v>
      </c>
    </row>
    <row r="17" spans="1:6" x14ac:dyDescent="0.3">
      <c r="A17" s="7" t="s">
        <v>132</v>
      </c>
      <c r="B17" s="7" t="s">
        <v>133</v>
      </c>
      <c r="C17" s="7" t="s">
        <v>52</v>
      </c>
      <c r="D17" s="7">
        <v>3</v>
      </c>
      <c r="E17" s="7" t="s">
        <v>134</v>
      </c>
      <c r="F17" s="7">
        <v>3</v>
      </c>
    </row>
    <row r="18" spans="1:6" x14ac:dyDescent="0.3">
      <c r="A18" s="7" t="s">
        <v>135</v>
      </c>
      <c r="B18" s="7" t="s">
        <v>30</v>
      </c>
      <c r="C18" s="7" t="s">
        <v>30</v>
      </c>
      <c r="D18" s="7">
        <v>1</v>
      </c>
      <c r="E18" s="7" t="s">
        <v>30</v>
      </c>
      <c r="F18" s="7">
        <v>1</v>
      </c>
    </row>
    <row r="19" spans="1:6" x14ac:dyDescent="0.3">
      <c r="A19" s="7" t="s">
        <v>136</v>
      </c>
      <c r="B19" s="7" t="s">
        <v>30</v>
      </c>
      <c r="C19" s="7" t="s">
        <v>133</v>
      </c>
      <c r="D19" s="7">
        <v>2</v>
      </c>
      <c r="E19" s="7" t="s">
        <v>30</v>
      </c>
      <c r="F19" s="7">
        <v>1</v>
      </c>
    </row>
    <row r="20" spans="1:6" x14ac:dyDescent="0.3">
      <c r="A20" s="7" t="s">
        <v>137</v>
      </c>
      <c r="B20" s="7" t="s">
        <v>42</v>
      </c>
      <c r="C20" s="7" t="s">
        <v>30</v>
      </c>
      <c r="D20" s="7">
        <v>3</v>
      </c>
      <c r="E20" s="7" t="s">
        <v>30</v>
      </c>
      <c r="F20" s="7">
        <v>2</v>
      </c>
    </row>
    <row r="21" spans="1:6" x14ac:dyDescent="0.3">
      <c r="A21" s="7" t="s">
        <v>138</v>
      </c>
      <c r="B21" s="7" t="s">
        <v>30</v>
      </c>
      <c r="C21" s="7" t="s">
        <v>30</v>
      </c>
      <c r="D21" s="7">
        <v>1</v>
      </c>
      <c r="E21" s="7" t="s">
        <v>30</v>
      </c>
      <c r="F21" s="7">
        <v>1</v>
      </c>
    </row>
    <row r="22" spans="1:6" x14ac:dyDescent="0.3">
      <c r="A22" s="7" t="s">
        <v>139</v>
      </c>
      <c r="B22" s="7" t="s">
        <v>133</v>
      </c>
      <c r="C22" s="7" t="s">
        <v>133</v>
      </c>
      <c r="D22" s="7">
        <v>1</v>
      </c>
      <c r="E22" s="7" t="s">
        <v>133</v>
      </c>
      <c r="F22" s="7">
        <v>1</v>
      </c>
    </row>
    <row r="23" spans="1:6" x14ac:dyDescent="0.3">
      <c r="A23" s="7" t="s">
        <v>140</v>
      </c>
      <c r="B23" s="7" t="s">
        <v>38</v>
      </c>
      <c r="C23" s="7" t="s">
        <v>38</v>
      </c>
      <c r="D23" s="7">
        <v>1</v>
      </c>
      <c r="E23" s="7" t="s">
        <v>38</v>
      </c>
      <c r="F23" s="7">
        <v>1</v>
      </c>
    </row>
    <row r="24" spans="1:6" x14ac:dyDescent="0.3">
      <c r="A24" s="7" t="s">
        <v>141</v>
      </c>
      <c r="B24" s="7" t="s">
        <v>129</v>
      </c>
      <c r="C24" s="7" t="s">
        <v>30</v>
      </c>
      <c r="D24" s="7">
        <v>3</v>
      </c>
      <c r="E24" s="7" t="s">
        <v>30</v>
      </c>
      <c r="F24" s="7">
        <v>2</v>
      </c>
    </row>
    <row r="25" spans="1:6" x14ac:dyDescent="0.3">
      <c r="A25" s="7" t="s">
        <v>142</v>
      </c>
      <c r="B25" s="7" t="s">
        <v>38</v>
      </c>
      <c r="C25" s="7" t="s">
        <v>30</v>
      </c>
      <c r="D25" s="7">
        <v>2</v>
      </c>
      <c r="E25" s="7" t="s">
        <v>30</v>
      </c>
      <c r="F25" s="7">
        <v>2</v>
      </c>
    </row>
    <row r="26" spans="1:6" x14ac:dyDescent="0.3">
      <c r="A26" s="7" t="s">
        <v>143</v>
      </c>
      <c r="B26" s="7" t="s">
        <v>133</v>
      </c>
      <c r="C26" s="7" t="s">
        <v>133</v>
      </c>
      <c r="D26" s="7">
        <v>1</v>
      </c>
      <c r="E26" s="7" t="s">
        <v>129</v>
      </c>
      <c r="F26" s="7">
        <v>2</v>
      </c>
    </row>
    <row r="27" spans="1:6" x14ac:dyDescent="0.3">
      <c r="A27" s="7" t="s">
        <v>144</v>
      </c>
      <c r="B27" s="7" t="s">
        <v>30</v>
      </c>
      <c r="C27" s="7" t="s">
        <v>30</v>
      </c>
      <c r="D27" s="7">
        <v>1</v>
      </c>
      <c r="E27" s="7" t="s">
        <v>30</v>
      </c>
      <c r="F27" s="7">
        <v>1</v>
      </c>
    </row>
    <row r="28" spans="1:6" x14ac:dyDescent="0.3">
      <c r="A28" s="7" t="s">
        <v>145</v>
      </c>
      <c r="B28" s="7" t="s">
        <v>33</v>
      </c>
      <c r="C28" s="7" t="s">
        <v>30</v>
      </c>
      <c r="D28" s="7">
        <v>2</v>
      </c>
      <c r="E28" s="7" t="s">
        <v>30</v>
      </c>
      <c r="F28" s="7">
        <v>2</v>
      </c>
    </row>
    <row r="29" spans="1:6" x14ac:dyDescent="0.3">
      <c r="A29" s="7" t="s">
        <v>146</v>
      </c>
      <c r="B29" s="7" t="s">
        <v>30</v>
      </c>
      <c r="C29" s="7" t="s">
        <v>40</v>
      </c>
      <c r="D29" s="7">
        <v>2</v>
      </c>
      <c r="E29" s="7" t="s">
        <v>30</v>
      </c>
      <c r="F29" s="7">
        <v>1</v>
      </c>
    </row>
    <row r="30" spans="1:6" x14ac:dyDescent="0.3">
      <c r="A30" s="7" t="s">
        <v>147</v>
      </c>
      <c r="B30" s="7" t="s">
        <v>129</v>
      </c>
      <c r="C30" s="7" t="s">
        <v>30</v>
      </c>
      <c r="D30" s="7">
        <v>2</v>
      </c>
      <c r="E30" s="7" t="s">
        <v>40</v>
      </c>
      <c r="F30" s="7">
        <v>6</v>
      </c>
    </row>
    <row r="31" spans="1:6" x14ac:dyDescent="0.3">
      <c r="A31" s="7" t="s">
        <v>148</v>
      </c>
      <c r="B31" s="7" t="s">
        <v>36</v>
      </c>
      <c r="C31" s="7" t="s">
        <v>36</v>
      </c>
      <c r="D31" s="7">
        <v>1</v>
      </c>
      <c r="E31" s="7" t="s">
        <v>30</v>
      </c>
      <c r="F31" s="7">
        <v>2</v>
      </c>
    </row>
    <row r="32" spans="1:6" x14ac:dyDescent="0.3">
      <c r="A32" s="7" t="s">
        <v>149</v>
      </c>
      <c r="B32" s="7" t="s">
        <v>40</v>
      </c>
      <c r="C32" s="7" t="s">
        <v>33</v>
      </c>
      <c r="D32" s="7">
        <v>4</v>
      </c>
      <c r="E32" s="7" t="s">
        <v>30</v>
      </c>
      <c r="F32" s="7">
        <v>3</v>
      </c>
    </row>
    <row r="33" spans="1:6" x14ac:dyDescent="0.3">
      <c r="A33" s="7" t="s">
        <v>150</v>
      </c>
      <c r="B33" s="7" t="s">
        <v>33</v>
      </c>
      <c r="C33" s="7" t="s">
        <v>33</v>
      </c>
      <c r="D33" s="7">
        <v>1</v>
      </c>
      <c r="E33" s="7" t="s">
        <v>30</v>
      </c>
      <c r="F33" s="7">
        <v>2</v>
      </c>
    </row>
    <row r="34" spans="1:6" x14ac:dyDescent="0.3">
      <c r="A34" s="7" t="s">
        <v>151</v>
      </c>
      <c r="B34" s="7" t="s">
        <v>38</v>
      </c>
      <c r="C34" s="7" t="s">
        <v>33</v>
      </c>
      <c r="D34" s="7">
        <v>2</v>
      </c>
      <c r="E34" s="7" t="s">
        <v>30</v>
      </c>
      <c r="F34" s="7">
        <v>3</v>
      </c>
    </row>
    <row r="36" spans="1:6" x14ac:dyDescent="0.3">
      <c r="A36" s="14" t="s">
        <v>152</v>
      </c>
    </row>
    <row r="37" spans="1:6" x14ac:dyDescent="0.3">
      <c r="A37" s="17" t="s">
        <v>100</v>
      </c>
      <c r="B37" s="17" t="s">
        <v>153</v>
      </c>
      <c r="C37" s="17" t="s">
        <v>154</v>
      </c>
      <c r="D37" s="17" t="s">
        <v>155</v>
      </c>
      <c r="E37" s="17" t="s">
        <v>156</v>
      </c>
    </row>
    <row r="38" spans="1:6" x14ac:dyDescent="0.3">
      <c r="A38" s="7" t="s">
        <v>157</v>
      </c>
      <c r="B38" s="10">
        <f>COUNTIF(D13:D34,1)/22</f>
        <v>0.5</v>
      </c>
      <c r="C38" s="10">
        <f>COUNTIF(D13:D34,"&lt;=3")/22</f>
        <v>0.95454545454545459</v>
      </c>
      <c r="D38" s="10">
        <f>COUNTIF(D13:D34,"&lt;=5")/22</f>
        <v>1</v>
      </c>
      <c r="E38" s="18">
        <f>AVERAGE(D13:D34)</f>
        <v>1.7272727272727273</v>
      </c>
    </row>
    <row r="39" spans="1:6" x14ac:dyDescent="0.3">
      <c r="A39" s="7" t="s">
        <v>158</v>
      </c>
      <c r="B39" s="10">
        <f>COUNTIF(F13:F34,1)/22</f>
        <v>0.5</v>
      </c>
      <c r="C39" s="10">
        <f>COUNTIF(F13:F34,"&lt;=3")/22</f>
        <v>0.95454545454545459</v>
      </c>
      <c r="D39" s="10">
        <f>COUNTIF(F13:F34,"&lt;=5")/22</f>
        <v>0.95454545454545459</v>
      </c>
      <c r="E39" s="18">
        <f>AVERAGE(F13:F34)</f>
        <v>1.8181818181818181</v>
      </c>
    </row>
    <row r="40" spans="1:6" x14ac:dyDescent="0.3">
      <c r="A40" s="7" t="s">
        <v>159</v>
      </c>
      <c r="B40" s="19">
        <v>0.05</v>
      </c>
      <c r="C40" s="19">
        <v>0.36</v>
      </c>
      <c r="D40" s="19">
        <v>0.55000000000000004</v>
      </c>
      <c r="E40" s="18"/>
    </row>
    <row r="41" spans="1:6" x14ac:dyDescent="0.3">
      <c r="A41" s="12" t="s">
        <v>160</v>
      </c>
    </row>
    <row r="43" spans="1:6" x14ac:dyDescent="0.3">
      <c r="A43" s="14" t="s">
        <v>161</v>
      </c>
    </row>
    <row r="44" spans="1:6" x14ac:dyDescent="0.3">
      <c r="A44" s="16" t="s">
        <v>162</v>
      </c>
      <c r="B44" s="20"/>
      <c r="C44" s="21">
        <v>0.92700000000000005</v>
      </c>
    </row>
    <row r="45" spans="1:6" x14ac:dyDescent="0.3">
      <c r="A45" s="16" t="s">
        <v>163</v>
      </c>
      <c r="B45" s="20"/>
      <c r="C45" s="21">
        <v>0.97299999999999998</v>
      </c>
    </row>
    <row r="46" spans="1:6" x14ac:dyDescent="0.3">
      <c r="A46" s="12" t="s">
        <v>164</v>
      </c>
    </row>
  </sheetData>
  <conditionalFormatting sqref="D13:D34">
    <cfRule type="colorScale" priority="1">
      <colorScale>
        <cfvo type="num" val="1"/>
        <cfvo type="num" val="3"/>
        <cfvo type="num" val="6"/>
        <color rgb="FF63BE7B"/>
        <color rgb="FFFFEB84"/>
        <color rgb="FFF8696B"/>
      </colorScale>
    </cfRule>
  </conditionalFormatting>
  <conditionalFormatting sqref="F13:F34">
    <cfRule type="colorScale" priority="2">
      <colorScale>
        <cfvo type="num" val="1"/>
        <cfvo type="num" val="3"/>
        <cfvo type="num" val="6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/>
  </sheetViews>
  <sheetFormatPr baseColWidth="10" defaultColWidth="8.88671875" defaultRowHeight="14.4" x14ac:dyDescent="0.3"/>
  <cols>
    <col min="1" max="7" width="12" customWidth="1"/>
  </cols>
  <sheetData>
    <row r="1" spans="1:7" x14ac:dyDescent="0.3">
      <c r="A1" s="22" t="s">
        <v>165</v>
      </c>
    </row>
    <row r="2" spans="1:7" x14ac:dyDescent="0.3">
      <c r="A2" s="15" t="s">
        <v>121</v>
      </c>
      <c r="B2" s="15" t="s">
        <v>30</v>
      </c>
      <c r="C2" s="15" t="s">
        <v>33</v>
      </c>
      <c r="D2" s="15" t="s">
        <v>36</v>
      </c>
      <c r="E2" s="15" t="s">
        <v>38</v>
      </c>
      <c r="F2" s="15" t="s">
        <v>40</v>
      </c>
      <c r="G2" s="15" t="s">
        <v>42</v>
      </c>
    </row>
    <row r="3" spans="1:7" x14ac:dyDescent="0.3">
      <c r="A3" s="16" t="s">
        <v>127</v>
      </c>
      <c r="B3" s="23">
        <v>1700</v>
      </c>
      <c r="C3" s="23">
        <v>1700</v>
      </c>
      <c r="D3" s="23"/>
      <c r="E3" s="23">
        <v>1900</v>
      </c>
      <c r="F3" s="23"/>
      <c r="G3" s="23"/>
    </row>
    <row r="4" spans="1:7" x14ac:dyDescent="0.3">
      <c r="A4" s="16" t="s">
        <v>128</v>
      </c>
      <c r="B4" s="23">
        <v>1720</v>
      </c>
      <c r="C4" s="23"/>
      <c r="D4" s="23">
        <v>1780</v>
      </c>
      <c r="E4" s="23"/>
      <c r="F4" s="23">
        <v>1820</v>
      </c>
      <c r="G4" s="23"/>
    </row>
    <row r="5" spans="1:7" x14ac:dyDescent="0.3">
      <c r="A5" s="16" t="s">
        <v>130</v>
      </c>
      <c r="B5" s="23">
        <v>1800</v>
      </c>
      <c r="C5" s="23">
        <v>1730</v>
      </c>
      <c r="D5" s="23"/>
      <c r="E5" s="23"/>
      <c r="F5" s="23"/>
      <c r="G5" s="23"/>
    </row>
    <row r="6" spans="1:7" x14ac:dyDescent="0.3">
      <c r="A6" s="16" t="s">
        <v>131</v>
      </c>
      <c r="B6" s="23">
        <v>1900</v>
      </c>
      <c r="C6" s="23"/>
      <c r="D6" s="23">
        <v>1820</v>
      </c>
      <c r="E6" s="23"/>
      <c r="F6" s="23"/>
      <c r="G6" s="23">
        <v>1800</v>
      </c>
    </row>
    <row r="7" spans="1:7" x14ac:dyDescent="0.3">
      <c r="A7" s="16" t="s">
        <v>132</v>
      </c>
      <c r="B7" s="23">
        <v>1890</v>
      </c>
      <c r="C7" s="23"/>
      <c r="D7" s="23"/>
      <c r="E7" s="23"/>
      <c r="F7" s="23"/>
      <c r="G7" s="23">
        <v>1820</v>
      </c>
    </row>
    <row r="8" spans="1:7" x14ac:dyDescent="0.3">
      <c r="A8" s="16" t="s">
        <v>135</v>
      </c>
      <c r="B8" s="23">
        <v>1950</v>
      </c>
      <c r="C8" s="23">
        <v>1800</v>
      </c>
      <c r="D8" s="23"/>
      <c r="E8" s="23">
        <v>1830</v>
      </c>
      <c r="F8" s="23"/>
      <c r="G8" s="23"/>
    </row>
    <row r="9" spans="1:7" x14ac:dyDescent="0.3">
      <c r="A9" s="16" t="s">
        <v>136</v>
      </c>
      <c r="B9" s="23">
        <v>1980</v>
      </c>
      <c r="C9" s="23"/>
      <c r="D9" s="23"/>
      <c r="E9" s="23"/>
      <c r="F9" s="23"/>
      <c r="G9" s="23">
        <v>1860</v>
      </c>
    </row>
    <row r="10" spans="1:7" x14ac:dyDescent="0.3">
      <c r="A10" s="16" t="s">
        <v>137</v>
      </c>
      <c r="B10" s="23">
        <v>1980</v>
      </c>
      <c r="C10" s="23"/>
      <c r="D10" s="23"/>
      <c r="E10" s="23">
        <v>1860</v>
      </c>
      <c r="F10" s="23"/>
      <c r="G10" s="23">
        <v>1940</v>
      </c>
    </row>
    <row r="11" spans="1:7" x14ac:dyDescent="0.3">
      <c r="A11" s="16" t="s">
        <v>138</v>
      </c>
      <c r="B11" s="23">
        <v>2000</v>
      </c>
      <c r="C11" s="23"/>
      <c r="D11" s="23"/>
      <c r="E11" s="23"/>
      <c r="F11" s="23"/>
      <c r="G11" s="23">
        <v>1940</v>
      </c>
    </row>
    <row r="12" spans="1:7" x14ac:dyDescent="0.3">
      <c r="A12" s="16" t="s">
        <v>139</v>
      </c>
      <c r="B12" s="23">
        <v>1980</v>
      </c>
      <c r="C12" s="23"/>
      <c r="D12" s="23"/>
      <c r="E12" s="23">
        <v>1890</v>
      </c>
      <c r="F12" s="23"/>
      <c r="G12" s="23"/>
    </row>
    <row r="13" spans="1:7" x14ac:dyDescent="0.3">
      <c r="A13" s="16" t="s">
        <v>140</v>
      </c>
      <c r="B13" s="23">
        <v>1990</v>
      </c>
      <c r="C13" s="23"/>
      <c r="D13" s="23"/>
      <c r="E13" s="23">
        <v>1960</v>
      </c>
      <c r="F13" s="23"/>
      <c r="G13" s="23"/>
    </row>
    <row r="14" spans="1:7" x14ac:dyDescent="0.3">
      <c r="A14" s="16" t="s">
        <v>141</v>
      </c>
      <c r="B14" s="23">
        <v>2000</v>
      </c>
      <c r="C14" s="23">
        <v>1900</v>
      </c>
      <c r="D14" s="23">
        <v>1890</v>
      </c>
      <c r="E14" s="23">
        <v>1920</v>
      </c>
      <c r="F14" s="23"/>
      <c r="G14" s="23">
        <v>1900</v>
      </c>
    </row>
    <row r="15" spans="1:7" x14ac:dyDescent="0.3">
      <c r="A15" s="16" t="s">
        <v>142</v>
      </c>
      <c r="B15" s="23">
        <v>1990</v>
      </c>
      <c r="C15" s="23">
        <v>1920</v>
      </c>
      <c r="D15" s="23">
        <v>1880</v>
      </c>
      <c r="E15" s="23">
        <v>1970</v>
      </c>
      <c r="F15" s="23"/>
      <c r="G15" s="23">
        <v>1880</v>
      </c>
    </row>
    <row r="16" spans="1:7" x14ac:dyDescent="0.3">
      <c r="A16" s="16" t="s">
        <v>143</v>
      </c>
      <c r="B16" s="23"/>
      <c r="C16" s="23"/>
      <c r="D16" s="23"/>
      <c r="E16" s="23">
        <v>1950</v>
      </c>
      <c r="F16" s="23"/>
      <c r="G16" s="23">
        <v>1910</v>
      </c>
    </row>
    <row r="17" spans="1:7" x14ac:dyDescent="0.3">
      <c r="A17" s="16" t="s">
        <v>144</v>
      </c>
      <c r="B17" s="23">
        <v>2000</v>
      </c>
      <c r="C17" s="23"/>
      <c r="D17" s="23">
        <v>1910</v>
      </c>
      <c r="E17" s="23"/>
      <c r="F17" s="23">
        <v>1960</v>
      </c>
      <c r="G17" s="23"/>
    </row>
    <row r="18" spans="1:7" x14ac:dyDescent="0.3">
      <c r="A18" s="16" t="s">
        <v>145</v>
      </c>
      <c r="B18" s="23">
        <v>2010</v>
      </c>
      <c r="C18" s="23">
        <v>1970</v>
      </c>
      <c r="D18" s="23"/>
      <c r="E18" s="23">
        <v>1950</v>
      </c>
      <c r="F18" s="23">
        <v>1960</v>
      </c>
      <c r="G18" s="23">
        <v>1900</v>
      </c>
    </row>
    <row r="19" spans="1:7" x14ac:dyDescent="0.3">
      <c r="A19" s="16" t="s">
        <v>146</v>
      </c>
      <c r="B19" s="23">
        <v>2050</v>
      </c>
      <c r="C19" s="23"/>
      <c r="D19" s="23">
        <v>1920</v>
      </c>
      <c r="E19" s="23"/>
      <c r="F19" s="23">
        <v>1940</v>
      </c>
      <c r="G19" s="23">
        <v>1900</v>
      </c>
    </row>
    <row r="20" spans="1:7" x14ac:dyDescent="0.3">
      <c r="A20" s="16" t="s">
        <v>147</v>
      </c>
      <c r="B20" s="23">
        <v>2030</v>
      </c>
      <c r="C20" s="23">
        <v>1960</v>
      </c>
      <c r="D20" s="23"/>
      <c r="E20" s="23">
        <v>1960</v>
      </c>
      <c r="F20" s="23">
        <v>1960</v>
      </c>
      <c r="G20" s="23">
        <v>1910</v>
      </c>
    </row>
    <row r="21" spans="1:7" x14ac:dyDescent="0.3">
      <c r="A21" s="16" t="s">
        <v>148</v>
      </c>
      <c r="B21" s="23">
        <v>2040</v>
      </c>
      <c r="C21" s="23"/>
      <c r="D21" s="23">
        <v>1980</v>
      </c>
      <c r="E21" s="23">
        <v>1960</v>
      </c>
      <c r="F21" s="23">
        <v>1960</v>
      </c>
      <c r="G21" s="23"/>
    </row>
    <row r="22" spans="1:7" x14ac:dyDescent="0.3">
      <c r="A22" s="16" t="s">
        <v>149</v>
      </c>
      <c r="B22" s="23">
        <v>2020</v>
      </c>
      <c r="C22" s="23">
        <v>1960</v>
      </c>
      <c r="D22" s="23"/>
      <c r="E22" s="23">
        <v>1960</v>
      </c>
      <c r="F22" s="23">
        <v>1990</v>
      </c>
      <c r="G22" s="23"/>
    </row>
    <row r="23" spans="1:7" x14ac:dyDescent="0.3">
      <c r="A23" s="16" t="s">
        <v>150</v>
      </c>
      <c r="B23" s="23">
        <v>2030</v>
      </c>
      <c r="C23" s="23">
        <v>1980</v>
      </c>
      <c r="D23" s="23"/>
      <c r="E23" s="23"/>
      <c r="F23" s="23"/>
      <c r="G23" s="23">
        <v>1900</v>
      </c>
    </row>
    <row r="24" spans="1:7" x14ac:dyDescent="0.3">
      <c r="A24" s="16" t="s">
        <v>151</v>
      </c>
      <c r="B24" s="23">
        <v>2030</v>
      </c>
      <c r="C24" s="23">
        <v>1980</v>
      </c>
      <c r="D24" s="23"/>
      <c r="E24" s="23">
        <v>1980</v>
      </c>
      <c r="F24" s="23"/>
      <c r="G24" s="23">
        <v>1930</v>
      </c>
    </row>
    <row r="25" spans="1:7" x14ac:dyDescent="0.3">
      <c r="A25" s="16" t="s">
        <v>166</v>
      </c>
      <c r="B25" s="23">
        <v>2030</v>
      </c>
      <c r="C25" s="23">
        <v>1990</v>
      </c>
      <c r="D25" s="23">
        <v>1990</v>
      </c>
      <c r="E25" s="23">
        <v>1980</v>
      </c>
      <c r="F25" s="23">
        <v>1960</v>
      </c>
      <c r="G25" s="23">
        <v>1940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/>
  </sheetViews>
  <sheetFormatPr baseColWidth="10" defaultColWidth="8.88671875" defaultRowHeight="14.4" x14ac:dyDescent="0.3"/>
  <sheetData>
    <row r="1" spans="1:2" x14ac:dyDescent="0.3">
      <c r="A1" s="12" t="s">
        <v>167</v>
      </c>
    </row>
    <row r="2" spans="1:2" x14ac:dyDescent="0.3">
      <c r="A2" t="s">
        <v>14</v>
      </c>
      <c r="B2" t="s">
        <v>168</v>
      </c>
    </row>
    <row r="3" spans="1:2" x14ac:dyDescent="0.3">
      <c r="A3" t="str">
        <f>Probabilidades!B13</f>
        <v>Uruguay</v>
      </c>
      <c r="B3" s="24">
        <f>Probabilidades!J13</f>
        <v>2.3118462864011629E-2</v>
      </c>
    </row>
    <row r="4" spans="1:2" x14ac:dyDescent="0.3">
      <c r="A4" t="str">
        <f>Probabilidades!B12</f>
        <v>Colombia</v>
      </c>
      <c r="B4" s="24">
        <f>Probabilidades!J12</f>
        <v>2.5365131613471831E-2</v>
      </c>
    </row>
    <row r="5" spans="1:2" x14ac:dyDescent="0.3">
      <c r="A5" t="str">
        <f>Probabilidades!B11</f>
        <v>Croacia</v>
      </c>
      <c r="B5" s="24">
        <f>Probabilidades!J11</f>
        <v>2.5970353476491879E-2</v>
      </c>
    </row>
    <row r="6" spans="1:2" x14ac:dyDescent="0.3">
      <c r="A6" t="str">
        <f>Probabilidades!B10</f>
        <v>Bélgica</v>
      </c>
      <c r="B6" s="24">
        <f>Probabilidades!J10</f>
        <v>3.5479390738526427E-2</v>
      </c>
    </row>
    <row r="7" spans="1:2" x14ac:dyDescent="0.3">
      <c r="A7" t="str">
        <f>Probabilidades!B9</f>
        <v>Portugal</v>
      </c>
      <c r="B7" s="24">
        <f>Probabilidades!J9</f>
        <v>5.9028534863602412E-2</v>
      </c>
    </row>
    <row r="8" spans="1:2" x14ac:dyDescent="0.3">
      <c r="A8" t="str">
        <f>Probabilidades!B8</f>
        <v>Países Bajos</v>
      </c>
      <c r="B8" s="24">
        <f>Probabilidades!J8</f>
        <v>6.245823070476595E-2</v>
      </c>
    </row>
    <row r="9" spans="1:2" x14ac:dyDescent="0.3">
      <c r="A9" t="str">
        <f>Probabilidades!B7</f>
        <v>Inglaterra</v>
      </c>
      <c r="B9" s="24">
        <f>Probabilidades!J7</f>
        <v>6.4932963843805883E-2</v>
      </c>
    </row>
    <row r="10" spans="1:2" x14ac:dyDescent="0.3">
      <c r="A10" t="str">
        <f>Probabilidades!B6</f>
        <v>Alemania</v>
      </c>
      <c r="B10" s="24">
        <f>Probabilidades!J6</f>
        <v>6.8398535112096079E-2</v>
      </c>
    </row>
    <row r="11" spans="1:2" x14ac:dyDescent="0.3">
      <c r="A11" t="str">
        <f>Probabilidades!B5</f>
        <v>Argentina</v>
      </c>
      <c r="B11" s="24">
        <f>Probabilidades!J5</f>
        <v>9.7460947777218726E-2</v>
      </c>
    </row>
    <row r="12" spans="1:2" x14ac:dyDescent="0.3">
      <c r="A12" t="str">
        <f>Probabilidades!B4</f>
        <v>España</v>
      </c>
      <c r="B12" s="24">
        <f>Probabilidades!J4</f>
        <v>0.12589103055198611</v>
      </c>
    </row>
    <row r="13" spans="1:2" x14ac:dyDescent="0.3">
      <c r="A13" t="str">
        <f>Probabilidades!B3</f>
        <v>Francia</v>
      </c>
      <c r="B13" s="24">
        <f>Probabilidades!J3</f>
        <v>0.13971916328440301</v>
      </c>
    </row>
    <row r="14" spans="1:2" x14ac:dyDescent="0.3">
      <c r="A14" t="str">
        <f>Probabilidades!B2</f>
        <v>Brasil</v>
      </c>
      <c r="B14" s="24">
        <f>Probabilidades!J2</f>
        <v>0.16217588147555309</v>
      </c>
    </row>
    <row r="17" spans="1:6" x14ac:dyDescent="0.3">
      <c r="A17" t="s">
        <v>169</v>
      </c>
      <c r="B17" t="str">
        <f>Probabilidades!B2</f>
        <v>Brasil</v>
      </c>
      <c r="C17" t="str">
        <f>Probabilidades!B3</f>
        <v>Francia</v>
      </c>
      <c r="D17" t="str">
        <f>Probabilidades!B4</f>
        <v>España</v>
      </c>
      <c r="E17" t="str">
        <f>Probabilidades!B5</f>
        <v>Argentina</v>
      </c>
      <c r="F17" t="str">
        <f>Probabilidades!B6</f>
        <v>Alemania</v>
      </c>
    </row>
    <row r="18" spans="1:6" x14ac:dyDescent="0.3">
      <c r="A18" t="s">
        <v>170</v>
      </c>
      <c r="B18" s="24">
        <f>Probabilidades!L2</f>
        <v>1</v>
      </c>
      <c r="C18" s="24">
        <f>Probabilidades!L3</f>
        <v>0.9998999999999999</v>
      </c>
      <c r="D18" s="24">
        <f>Probabilidades!L4</f>
        <v>1</v>
      </c>
      <c r="E18" s="24">
        <f>Probabilidades!L5</f>
        <v>0.99970000000000003</v>
      </c>
      <c r="F18" s="24">
        <f>Probabilidades!L6</f>
        <v>1</v>
      </c>
    </row>
    <row r="19" spans="1:6" x14ac:dyDescent="0.3">
      <c r="A19" t="s">
        <v>171</v>
      </c>
      <c r="B19" s="24">
        <f>Probabilidades!M2</f>
        <v>0.95319999999999994</v>
      </c>
      <c r="C19" s="24">
        <f>Probabilidades!M3</f>
        <v>0.93840000000000001</v>
      </c>
      <c r="D19" s="24">
        <f>Probabilidades!M4</f>
        <v>0.93299999999999994</v>
      </c>
      <c r="E19" s="24">
        <f>Probabilidades!M5</f>
        <v>0.92540000000000011</v>
      </c>
      <c r="F19" s="24">
        <f>Probabilidades!M6</f>
        <v>0.90959999999999996</v>
      </c>
    </row>
    <row r="20" spans="1:6" x14ac:dyDescent="0.3">
      <c r="A20" t="s">
        <v>172</v>
      </c>
      <c r="B20" s="24">
        <f>Probabilidades!N2</f>
        <v>0.77879999999999994</v>
      </c>
      <c r="C20" s="24">
        <f>Probabilidades!N3</f>
        <v>0.72549999999999992</v>
      </c>
      <c r="D20" s="24">
        <f>Probabilidades!N4</f>
        <v>0.70069999999999988</v>
      </c>
      <c r="E20" s="24">
        <f>Probabilidades!N5</f>
        <v>0.68810000000000004</v>
      </c>
      <c r="F20" s="24">
        <f>Probabilidades!N6</f>
        <v>0.63190000000000002</v>
      </c>
    </row>
    <row r="21" spans="1:6" x14ac:dyDescent="0.3">
      <c r="A21" t="s">
        <v>173</v>
      </c>
      <c r="B21" s="24">
        <f>Probabilidades!O2</f>
        <v>0.55720000000000003</v>
      </c>
      <c r="C21" s="24">
        <f>Probabilidades!O3</f>
        <v>0.49559999999999998</v>
      </c>
      <c r="D21" s="24">
        <f>Probabilidades!O4</f>
        <v>0.4708</v>
      </c>
      <c r="E21" s="24">
        <f>Probabilidades!O5</f>
        <v>0.434</v>
      </c>
      <c r="F21" s="24">
        <f>Probabilidades!O6</f>
        <v>0.34849999999999998</v>
      </c>
    </row>
    <row r="22" spans="1:6" x14ac:dyDescent="0.3">
      <c r="A22" t="s">
        <v>174</v>
      </c>
      <c r="B22" s="24">
        <f>Probabilidades!P2</f>
        <v>0.37619999999999998</v>
      </c>
      <c r="C22" s="24">
        <f>Probabilidades!P3</f>
        <v>0.3115</v>
      </c>
      <c r="D22" s="24">
        <f>Probabilidades!P4</f>
        <v>0.28660000000000002</v>
      </c>
      <c r="E22" s="24">
        <f>Probabilidades!P5</f>
        <v>0.23480000000000001</v>
      </c>
      <c r="F22" s="24">
        <f>Probabilidades!P6</f>
        <v>0.1704</v>
      </c>
    </row>
    <row r="23" spans="1:6" x14ac:dyDescent="0.3">
      <c r="A23" t="s">
        <v>175</v>
      </c>
      <c r="B23" s="24">
        <f>Probabilidades!Q2</f>
        <v>0.24010000000000001</v>
      </c>
      <c r="C23" s="24">
        <f>Probabilidades!Q3</f>
        <v>0.18709999999999999</v>
      </c>
      <c r="D23" s="24">
        <f>Probabilidades!Q4</f>
        <v>0.1573</v>
      </c>
      <c r="E23" s="24">
        <f>Probabilidades!Q5</f>
        <v>0.1191</v>
      </c>
      <c r="F23" s="24">
        <f>Probabilidades!Q6</f>
        <v>7.3800000000000004E-2</v>
      </c>
    </row>
    <row r="26" spans="1:6" x14ac:dyDescent="0.3">
      <c r="A26" t="s">
        <v>16</v>
      </c>
      <c r="B26" t="s">
        <v>176</v>
      </c>
    </row>
    <row r="27" spans="1:6" x14ac:dyDescent="0.3">
      <c r="A27" t="s">
        <v>63</v>
      </c>
      <c r="B27" s="24">
        <f>SUMIF(Probabilidades!$D$2:$D$49,A27,Probabilidades!$J$2:$J$49)</f>
        <v>1.4620891827363184E-2</v>
      </c>
    </row>
    <row r="28" spans="1:6" x14ac:dyDescent="0.3">
      <c r="A28" t="s">
        <v>54</v>
      </c>
      <c r="B28" s="24">
        <f>SUMIF(Probabilidades!$D$2:$D$49,A28,Probabilidades!$J$2:$J$49)</f>
        <v>2.8133782042715019E-2</v>
      </c>
    </row>
    <row r="29" spans="1:6" x14ac:dyDescent="0.3">
      <c r="A29" t="s">
        <v>57</v>
      </c>
      <c r="B29" s="24">
        <f>SUMIF(Probabilidades!$D$2:$D$49,A29,Probabilidades!$J$2:$J$49)</f>
        <v>3.4155861384177158E-2</v>
      </c>
    </row>
    <row r="30" spans="1:6" x14ac:dyDescent="0.3">
      <c r="A30" t="s">
        <v>32</v>
      </c>
      <c r="B30" s="24">
        <f>SUMIF(Probabilidades!$D$2:$D$49,A30,Probabilidades!$J$2:$J$49)</f>
        <v>0.31134772830376145</v>
      </c>
    </row>
    <row r="31" spans="1:6" x14ac:dyDescent="0.3">
      <c r="A31" t="s">
        <v>92</v>
      </c>
      <c r="B31" s="24">
        <f>SUMIF(Probabilidades!$D$2:$D$49,A31,Probabilidades!$J$2:$J$49)</f>
        <v>3.1787893456914002E-5</v>
      </c>
    </row>
    <row r="32" spans="1:6" x14ac:dyDescent="0.3">
      <c r="A32" t="s">
        <v>35</v>
      </c>
      <c r="B32" s="24">
        <f>SUMIF(Probabilidades!$D$2:$D$49,A32,Probabilidades!$J$2:$J$49)</f>
        <v>0.61170994854852667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29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42" customWidth="1"/>
    <col min="3" max="3" width="95" customWidth="1"/>
  </cols>
  <sheetData>
    <row r="1" spans="2:3" ht="25.95" customHeight="1" x14ac:dyDescent="0.3">
      <c r="B1" s="55" t="s">
        <v>177</v>
      </c>
      <c r="C1" s="28"/>
    </row>
    <row r="3" spans="2:3" ht="19.95" customHeight="1" x14ac:dyDescent="0.3">
      <c r="B3" s="59" t="s">
        <v>178</v>
      </c>
      <c r="C3" s="28"/>
    </row>
    <row r="4" spans="2:3" ht="30" customHeight="1" x14ac:dyDescent="0.3">
      <c r="B4" s="25" t="s">
        <v>179</v>
      </c>
      <c r="C4" s="26" t="s">
        <v>180</v>
      </c>
    </row>
    <row r="5" spans="2:3" ht="60" customHeight="1" x14ac:dyDescent="0.3">
      <c r="B5" s="25" t="s">
        <v>181</v>
      </c>
      <c r="C5" s="26" t="s">
        <v>182</v>
      </c>
    </row>
    <row r="6" spans="2:3" ht="30" customHeight="1" x14ac:dyDescent="0.3">
      <c r="B6" s="25" t="s">
        <v>183</v>
      </c>
      <c r="C6" s="26" t="s">
        <v>184</v>
      </c>
    </row>
    <row r="7" spans="2:3" ht="30" customHeight="1" x14ac:dyDescent="0.3">
      <c r="B7" s="25" t="s">
        <v>185</v>
      </c>
      <c r="C7" s="26" t="s">
        <v>186</v>
      </c>
    </row>
    <row r="9" spans="2:3" ht="19.95" customHeight="1" x14ac:dyDescent="0.3">
      <c r="B9" s="60" t="s">
        <v>187</v>
      </c>
      <c r="C9" s="28"/>
    </row>
    <row r="10" spans="2:3" ht="30" customHeight="1" x14ac:dyDescent="0.3">
      <c r="B10" s="25" t="s">
        <v>188</v>
      </c>
      <c r="C10" s="26" t="s">
        <v>189</v>
      </c>
    </row>
    <row r="11" spans="2:3" ht="30" customHeight="1" x14ac:dyDescent="0.3">
      <c r="B11" s="25" t="s">
        <v>190</v>
      </c>
      <c r="C11" s="26" t="s">
        <v>191</v>
      </c>
    </row>
    <row r="12" spans="2:3" ht="30" customHeight="1" x14ac:dyDescent="0.3">
      <c r="B12" s="25" t="s">
        <v>192</v>
      </c>
      <c r="C12" s="26" t="s">
        <v>193</v>
      </c>
    </row>
    <row r="13" spans="2:3" ht="30" customHeight="1" x14ac:dyDescent="0.3">
      <c r="B13" s="25" t="s">
        <v>194</v>
      </c>
      <c r="C13" s="26" t="s">
        <v>195</v>
      </c>
    </row>
    <row r="14" spans="2:3" ht="30" customHeight="1" x14ac:dyDescent="0.3">
      <c r="B14" s="25" t="s">
        <v>196</v>
      </c>
      <c r="C14" s="26" t="s">
        <v>197</v>
      </c>
    </row>
    <row r="16" spans="2:3" ht="19.95" customHeight="1" x14ac:dyDescent="0.3">
      <c r="B16" s="57" t="s">
        <v>198</v>
      </c>
      <c r="C16" s="28"/>
    </row>
    <row r="17" spans="2:3" ht="75" customHeight="1" x14ac:dyDescent="0.3">
      <c r="B17" s="25" t="s">
        <v>199</v>
      </c>
      <c r="C17" s="26" t="s">
        <v>200</v>
      </c>
    </row>
    <row r="18" spans="2:3" ht="45" customHeight="1" x14ac:dyDescent="0.3">
      <c r="B18" s="25" t="s">
        <v>201</v>
      </c>
      <c r="C18" s="26" t="s">
        <v>202</v>
      </c>
    </row>
    <row r="19" spans="2:3" ht="45" customHeight="1" x14ac:dyDescent="0.3">
      <c r="B19" s="25" t="s">
        <v>203</v>
      </c>
      <c r="C19" s="26" t="s">
        <v>204</v>
      </c>
    </row>
    <row r="20" spans="2:3" ht="45" customHeight="1" x14ac:dyDescent="0.3">
      <c r="B20" s="25" t="s">
        <v>205</v>
      </c>
      <c r="C20" s="26" t="s">
        <v>206</v>
      </c>
    </row>
    <row r="21" spans="2:3" ht="45" customHeight="1" x14ac:dyDescent="0.3">
      <c r="B21" s="25" t="s">
        <v>207</v>
      </c>
      <c r="C21" s="26" t="s">
        <v>208</v>
      </c>
    </row>
    <row r="22" spans="2:3" ht="45" customHeight="1" x14ac:dyDescent="0.3">
      <c r="B22" s="25" t="s">
        <v>209</v>
      </c>
      <c r="C22" s="26" t="s">
        <v>210</v>
      </c>
    </row>
    <row r="24" spans="2:3" ht="19.95" customHeight="1" x14ac:dyDescent="0.3">
      <c r="B24" s="56" t="s">
        <v>211</v>
      </c>
      <c r="C24" s="28"/>
    </row>
    <row r="25" spans="2:3" ht="30" customHeight="1" x14ac:dyDescent="0.3">
      <c r="B25" s="25" t="s">
        <v>212</v>
      </c>
      <c r="C25" s="26" t="s">
        <v>213</v>
      </c>
    </row>
    <row r="26" spans="2:3" ht="30" customHeight="1" x14ac:dyDescent="0.3">
      <c r="B26" s="25" t="s">
        <v>214</v>
      </c>
      <c r="C26" s="26" t="s">
        <v>215</v>
      </c>
    </row>
    <row r="27" spans="2:3" ht="30" customHeight="1" x14ac:dyDescent="0.3">
      <c r="B27" s="25" t="s">
        <v>216</v>
      </c>
      <c r="C27" s="26" t="s">
        <v>217</v>
      </c>
    </row>
    <row r="29" spans="2:3" ht="30" customHeight="1" x14ac:dyDescent="0.3">
      <c r="B29" s="58" t="s">
        <v>218</v>
      </c>
      <c r="C29" s="28"/>
    </row>
  </sheetData>
  <mergeCells count="6">
    <mergeCell ref="B1:C1"/>
    <mergeCell ref="B24:C24"/>
    <mergeCell ref="B16:C16"/>
    <mergeCell ref="B29:C29"/>
    <mergeCell ref="B3:C3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Dashboard</vt:lpstr>
      <vt:lpstr>Probabilidades</vt:lpstr>
      <vt:lpstr>Evaluacion</vt:lpstr>
      <vt:lpstr>ELO_Historico</vt:lpstr>
      <vt:lpstr>Aux_Graficos</vt:lpstr>
      <vt:lpstr>Defensa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Chuquimia Mamani</cp:lastModifiedBy>
  <dcterms:created xsi:type="dcterms:W3CDTF">2026-06-11T02:18:55Z</dcterms:created>
  <dcterms:modified xsi:type="dcterms:W3CDTF">2026-06-12T03:17:30Z</dcterms:modified>
</cp:coreProperties>
</file>